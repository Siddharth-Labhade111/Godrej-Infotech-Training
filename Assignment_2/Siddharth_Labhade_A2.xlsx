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odrej Training\"/>
    </mc:Choice>
  </mc:AlternateContent>
  <bookViews>
    <workbookView xWindow="0" yWindow="0" windowWidth="15345" windowHeight="5925" activeTab="2"/>
  </bookViews>
  <sheets>
    <sheet name="placement" sheetId="1" r:id="rId1"/>
    <sheet name="whatif" sheetId="2" r:id="rId2"/>
    <sheet name="RentVSBu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3" l="1"/>
  <c r="C13" i="3"/>
  <c r="D7" i="3"/>
  <c r="D6" i="3"/>
  <c r="D5" i="3"/>
  <c r="D4" i="3"/>
  <c r="D3" i="3"/>
  <c r="H5" i="2"/>
  <c r="E5" i="2"/>
  <c r="B5" i="2"/>
  <c r="H8" i="1"/>
</calcChain>
</file>

<file path=xl/sharedStrings.xml><?xml version="1.0" encoding="utf-8"?>
<sst xmlns="http://schemas.openxmlformats.org/spreadsheetml/2006/main" count="39" uniqueCount="31">
  <si>
    <t>Total stud eligible for placement</t>
  </si>
  <si>
    <t>Total stud placed in jan</t>
  </si>
  <si>
    <t>Total stud placed in feb</t>
  </si>
  <si>
    <t>Total stud placed in mar</t>
  </si>
  <si>
    <t>Total stud placed in apr</t>
  </si>
  <si>
    <t>Total unplaced stud till may</t>
  </si>
  <si>
    <t>principle amount</t>
  </si>
  <si>
    <t>interest rate</t>
  </si>
  <si>
    <t>time period</t>
  </si>
  <si>
    <t>amount after 5y</t>
  </si>
  <si>
    <t>what if interest amount change</t>
  </si>
  <si>
    <t>Amount</t>
  </si>
  <si>
    <t>what if time period changes</t>
  </si>
  <si>
    <t>amount</t>
  </si>
  <si>
    <t>after 5 years</t>
  </si>
  <si>
    <t>what if principle amount change</t>
  </si>
  <si>
    <t>Rent Scenario</t>
  </si>
  <si>
    <t>1st year rent (per Month)</t>
  </si>
  <si>
    <t>2nd year Rent</t>
  </si>
  <si>
    <t>3rd year Rent</t>
  </si>
  <si>
    <t>4th year Rent</t>
  </si>
  <si>
    <t>5th year Rent</t>
  </si>
  <si>
    <t>Interest</t>
  </si>
  <si>
    <t>per month</t>
  </si>
  <si>
    <t>YEAR</t>
  </si>
  <si>
    <t>Deposit(Returnable)</t>
  </si>
  <si>
    <t>Total CashFlow</t>
  </si>
  <si>
    <t>Outright Buy</t>
  </si>
  <si>
    <t>Purchase</t>
  </si>
  <si>
    <t>Stamp Duty</t>
  </si>
  <si>
    <t>Maintanance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</si>
</sst>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0" fontId="0" fillId="0" borderId="0" xfId="0" applyNumberFormat="1"/>
    <xf numFmtId="3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3" fontId="0" fillId="2" borderId="0" xfId="0" applyNumberFormat="1" applyFill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C6E-4E33-A9B6-20BC9B445BC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C6E-4E33-A9B6-20BC9B445BC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C6E-4E33-A9B6-20BC9B445BC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C6E-4E33-A9B6-20BC9B445BC7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C6E-4E33-A9B6-20BC9B445BC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placement!$G$4:$G$8</c:f>
              <c:strCache>
                <c:ptCount val="5"/>
                <c:pt idx="0">
                  <c:v>Total stud placed in jan</c:v>
                </c:pt>
                <c:pt idx="1">
                  <c:v>Total stud placed in feb</c:v>
                </c:pt>
                <c:pt idx="2">
                  <c:v>Total stud placed in mar</c:v>
                </c:pt>
                <c:pt idx="3">
                  <c:v>Total stud placed in apr</c:v>
                </c:pt>
                <c:pt idx="4">
                  <c:v>Total unplaced stud till may</c:v>
                </c:pt>
              </c:strCache>
            </c:strRef>
          </c:cat>
          <c:val>
            <c:numRef>
              <c:f>placement!$H$4:$H$8</c:f>
              <c:numCache>
                <c:formatCode>General</c:formatCode>
                <c:ptCount val="5"/>
                <c:pt idx="0">
                  <c:v>25</c:v>
                </c:pt>
                <c:pt idx="1">
                  <c:v>12</c:v>
                </c:pt>
                <c:pt idx="2">
                  <c:v>27</c:v>
                </c:pt>
                <c:pt idx="3">
                  <c:v>32</c:v>
                </c:pt>
                <c:pt idx="4">
                  <c:v>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B7-4FFE-92DF-D709B8FC2FA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396240</xdr:colOff>
      <xdr:row>1</xdr:row>
      <xdr:rowOff>22860</xdr:rowOff>
    </xdr:from>
    <xdr:to>
      <xdr:col>16</xdr:col>
      <xdr:colOff>91440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651A398-B036-79CC-80F5-A73B139FF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H8"/>
  <sheetViews>
    <sheetView topLeftCell="E1" workbookViewId="0">
      <selection activeCell="O20" sqref="O20"/>
    </sheetView>
  </sheetViews>
  <sheetFormatPr defaultRowHeight="15" x14ac:dyDescent="0.25"/>
  <cols>
    <col min="7" max="7" width="44.85546875" customWidth="1"/>
  </cols>
  <sheetData>
    <row r="3" spans="7:8" ht="21" x14ac:dyDescent="0.35">
      <c r="G3" s="1" t="s">
        <v>0</v>
      </c>
      <c r="H3" s="1">
        <v>152</v>
      </c>
    </row>
    <row r="4" spans="7:8" ht="21" x14ac:dyDescent="0.35">
      <c r="G4" s="1" t="s">
        <v>1</v>
      </c>
      <c r="H4" s="1">
        <v>25</v>
      </c>
    </row>
    <row r="5" spans="7:8" ht="21" x14ac:dyDescent="0.35">
      <c r="G5" s="1" t="s">
        <v>2</v>
      </c>
      <c r="H5" s="1">
        <v>12</v>
      </c>
    </row>
    <row r="6" spans="7:8" ht="21" x14ac:dyDescent="0.35">
      <c r="G6" s="1" t="s">
        <v>3</v>
      </c>
      <c r="H6" s="1">
        <v>27</v>
      </c>
    </row>
    <row r="7" spans="7:8" ht="21" x14ac:dyDescent="0.35">
      <c r="G7" s="1" t="s">
        <v>4</v>
      </c>
      <c r="H7" s="1">
        <v>32</v>
      </c>
    </row>
    <row r="8" spans="7:8" ht="21" x14ac:dyDescent="0.35">
      <c r="G8" s="1" t="s">
        <v>5</v>
      </c>
      <c r="H8" s="1">
        <f>H3-SUM(H4:H7)</f>
        <v>56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L18" sqref="L18"/>
    </sheetView>
  </sheetViews>
  <sheetFormatPr defaultRowHeight="15" x14ac:dyDescent="0.25"/>
  <cols>
    <col min="1" max="1" width="28.7109375" customWidth="1"/>
    <col min="2" max="2" width="12.85546875" bestFit="1" customWidth="1"/>
    <col min="4" max="4" width="32.28515625" customWidth="1"/>
    <col min="5" max="5" width="12.85546875" bestFit="1" customWidth="1"/>
    <col min="7" max="7" width="28.5703125" customWidth="1"/>
    <col min="8" max="8" width="11.85546875" bestFit="1" customWidth="1"/>
  </cols>
  <sheetData>
    <row r="1" spans="1:8" x14ac:dyDescent="0.25">
      <c r="A1" t="s">
        <v>6</v>
      </c>
      <c r="B1" s="3">
        <v>500000</v>
      </c>
      <c r="D1" t="s">
        <v>6</v>
      </c>
      <c r="E1" s="3">
        <v>500000</v>
      </c>
      <c r="G1" t="s">
        <v>6</v>
      </c>
      <c r="H1" s="3">
        <v>500000</v>
      </c>
    </row>
    <row r="2" spans="1:8" x14ac:dyDescent="0.25">
      <c r="A2" t="s">
        <v>7</v>
      </c>
      <c r="B2" s="2">
        <v>7.0000000000000007E-2</v>
      </c>
      <c r="D2" t="s">
        <v>7</v>
      </c>
      <c r="E2" s="2">
        <v>7.0000000000000007E-2</v>
      </c>
      <c r="G2" t="s">
        <v>7</v>
      </c>
      <c r="H2" s="2">
        <v>7.0000000000000007E-2</v>
      </c>
    </row>
    <row r="3" spans="1:8" x14ac:dyDescent="0.25">
      <c r="A3" t="s">
        <v>8</v>
      </c>
      <c r="B3">
        <v>5</v>
      </c>
      <c r="D3" t="s">
        <v>8</v>
      </c>
      <c r="E3">
        <v>5</v>
      </c>
      <c r="G3" t="s">
        <v>8</v>
      </c>
      <c r="H3">
        <v>5</v>
      </c>
    </row>
    <row r="4" spans="1:8" x14ac:dyDescent="0.25">
      <c r="A4" s="4" t="s">
        <v>10</v>
      </c>
      <c r="B4" s="6" t="s">
        <v>11</v>
      </c>
      <c r="D4" s="4" t="s">
        <v>12</v>
      </c>
      <c r="E4" s="6" t="s">
        <v>13</v>
      </c>
      <c r="G4" s="4" t="s">
        <v>15</v>
      </c>
      <c r="H4" s="6" t="s">
        <v>13</v>
      </c>
    </row>
    <row r="5" spans="1:8" x14ac:dyDescent="0.25">
      <c r="A5" s="4" t="s">
        <v>9</v>
      </c>
      <c r="B5" s="7">
        <f>B$1*(1+B$2)^B$3</f>
        <v>701275.86535000009</v>
      </c>
      <c r="D5" s="4" t="s">
        <v>14</v>
      </c>
      <c r="E5" s="7">
        <f>E$1*(1+E$2)^E3</f>
        <v>701275.86535000009</v>
      </c>
      <c r="G5" s="4" t="s">
        <v>14</v>
      </c>
      <c r="H5" s="7">
        <f>H$1*(1+H$2)^H$3</f>
        <v>701275.86535000009</v>
      </c>
    </row>
    <row r="6" spans="1:8" x14ac:dyDescent="0.25">
      <c r="A6" s="5">
        <v>6.5000000000000002E-2</v>
      </c>
      <c r="B6" s="7">
        <f t="dataTable" ref="B6:B21" dt2D="0" dtr="0" r1="B2"/>
        <v>685043.33170781226</v>
      </c>
      <c r="D6" s="4">
        <v>2</v>
      </c>
      <c r="E6" s="7">
        <f t="dataTable" ref="E6:E21" dt2D="0" dtr="0" r1="E3"/>
        <v>572450</v>
      </c>
      <c r="G6" s="8">
        <v>425000</v>
      </c>
      <c r="H6" s="7">
        <f t="dataTable" ref="H6:H21" dt2D="0" dtr="0" r1="H1"/>
        <v>596084.48554750008</v>
      </c>
    </row>
    <row r="7" spans="1:8" x14ac:dyDescent="0.25">
      <c r="A7" s="5">
        <v>6.5500000000000003E-2</v>
      </c>
      <c r="B7" s="7">
        <v>686652.92529218236</v>
      </c>
      <c r="D7" s="4">
        <v>3</v>
      </c>
      <c r="E7" s="7">
        <v>612521.5</v>
      </c>
      <c r="G7" s="8">
        <v>430000</v>
      </c>
      <c r="H7" s="7">
        <v>603097.24420100008</v>
      </c>
    </row>
    <row r="8" spans="1:8" x14ac:dyDescent="0.25">
      <c r="A8" s="5">
        <v>6.6000000000000003E-2</v>
      </c>
      <c r="B8" s="7">
        <v>688265.54300628824</v>
      </c>
      <c r="D8" s="4">
        <v>4</v>
      </c>
      <c r="E8" s="7">
        <v>655398.005</v>
      </c>
      <c r="G8" s="8">
        <v>440000</v>
      </c>
      <c r="H8" s="7">
        <v>617122.76150800008</v>
      </c>
    </row>
    <row r="9" spans="1:8" x14ac:dyDescent="0.25">
      <c r="A9" s="5">
        <v>6.6500000000000004E-2</v>
      </c>
      <c r="B9" s="7">
        <v>689881.18910946709</v>
      </c>
      <c r="D9" s="4">
        <v>5</v>
      </c>
      <c r="E9" s="7">
        <v>701275.86535000009</v>
      </c>
      <c r="G9" s="8">
        <v>446666.66666666698</v>
      </c>
      <c r="H9" s="7">
        <v>626473.10637933388</v>
      </c>
    </row>
    <row r="10" spans="1:8" x14ac:dyDescent="0.25">
      <c r="A10" s="5">
        <v>6.7000000000000004E-2</v>
      </c>
      <c r="B10" s="7">
        <v>691499.86786505324</v>
      </c>
      <c r="D10" s="4">
        <v>6</v>
      </c>
      <c r="E10" s="7">
        <v>750365.17592449998</v>
      </c>
      <c r="G10" s="8">
        <v>454166.66666666698</v>
      </c>
      <c r="H10" s="7">
        <v>636992.24435958383</v>
      </c>
    </row>
    <row r="11" spans="1:8" x14ac:dyDescent="0.25">
      <c r="A11" s="5">
        <v>6.7500000000000004E-2</v>
      </c>
      <c r="B11" s="7">
        <v>693121.58354038058</v>
      </c>
      <c r="D11" s="4">
        <v>7</v>
      </c>
      <c r="E11" s="7">
        <v>802890.7382392151</v>
      </c>
      <c r="G11" s="8">
        <v>461666.66666666698</v>
      </c>
      <c r="H11" s="7">
        <v>647511.38233983389</v>
      </c>
    </row>
    <row r="12" spans="1:8" x14ac:dyDescent="0.25">
      <c r="A12" s="5">
        <v>6.8000000000000005E-2</v>
      </c>
      <c r="B12" s="7">
        <v>694746.34040678421</v>
      </c>
      <c r="D12" s="4">
        <v>8</v>
      </c>
      <c r="E12" s="7">
        <v>859093.0899159601</v>
      </c>
      <c r="G12" s="8">
        <v>469166.66666666698</v>
      </c>
      <c r="H12" s="7">
        <v>658030.52032008383</v>
      </c>
    </row>
    <row r="13" spans="1:8" x14ac:dyDescent="0.25">
      <c r="A13" s="5">
        <v>6.8500000000000005E-2</v>
      </c>
      <c r="B13" s="7">
        <v>696374.14273960085</v>
      </c>
      <c r="D13" s="4">
        <v>9</v>
      </c>
      <c r="E13" s="7">
        <v>919229.60621007741</v>
      </c>
      <c r="G13" s="8">
        <v>476666.66666666698</v>
      </c>
      <c r="H13" s="7">
        <v>668549.65830033389</v>
      </c>
    </row>
    <row r="14" spans="1:8" x14ac:dyDescent="0.25">
      <c r="A14" s="5">
        <v>6.9000000000000006E-2</v>
      </c>
      <c r="B14" s="7">
        <v>698004.9948181744</v>
      </c>
      <c r="D14" s="4">
        <v>10</v>
      </c>
      <c r="E14" s="7">
        <v>983575.67864478275</v>
      </c>
      <c r="G14" s="8">
        <v>484166.66666666698</v>
      </c>
      <c r="H14" s="7">
        <v>679068.79628058383</v>
      </c>
    </row>
    <row r="15" spans="1:8" x14ac:dyDescent="0.25">
      <c r="A15" s="5">
        <v>7.0000000000000007E-2</v>
      </c>
      <c r="B15" s="7">
        <v>701275.86535000009</v>
      </c>
      <c r="D15" s="4">
        <v>11</v>
      </c>
      <c r="E15" s="7">
        <v>1052425.9761499178</v>
      </c>
      <c r="G15" s="8">
        <v>491666.66666666698</v>
      </c>
      <c r="H15" s="7">
        <v>689587.93426083389</v>
      </c>
    </row>
    <row r="16" spans="1:8" x14ac:dyDescent="0.25">
      <c r="A16" s="5">
        <v>7.0499999999999993E-2</v>
      </c>
      <c r="B16" s="7">
        <v>702915.89238197973</v>
      </c>
      <c r="D16" s="4">
        <v>12</v>
      </c>
      <c r="E16" s="7">
        <v>1126095.7944804118</v>
      </c>
      <c r="G16" s="8">
        <v>499166.66666666698</v>
      </c>
      <c r="H16" s="7">
        <v>700107.07224108384</v>
      </c>
    </row>
    <row r="17" spans="1:8" x14ac:dyDescent="0.25">
      <c r="A17" s="5">
        <v>7.0999999999999994E-2</v>
      </c>
      <c r="B17" s="7">
        <v>704558.98631717544</v>
      </c>
      <c r="D17" s="4">
        <v>13</v>
      </c>
      <c r="E17" s="7">
        <v>1204922.5000940408</v>
      </c>
      <c r="G17" s="8">
        <v>506666.66666666698</v>
      </c>
      <c r="H17" s="7">
        <v>710626.21022133389</v>
      </c>
    </row>
    <row r="18" spans="1:8" x14ac:dyDescent="0.25">
      <c r="A18" s="5">
        <v>7.1499999999999994E-2</v>
      </c>
      <c r="B18" s="7">
        <v>706205.15145498316</v>
      </c>
      <c r="D18" s="4">
        <v>14</v>
      </c>
      <c r="E18" s="7">
        <v>1289267.0751006235</v>
      </c>
      <c r="G18" s="8">
        <v>514166.66666666698</v>
      </c>
      <c r="H18" s="7">
        <v>721145.34820158384</v>
      </c>
    </row>
    <row r="19" spans="1:8" x14ac:dyDescent="0.25">
      <c r="A19" s="5">
        <v>7.1999999999999995E-2</v>
      </c>
      <c r="B19" s="7">
        <v>707854.39209881634</v>
      </c>
      <c r="D19" s="4">
        <v>15</v>
      </c>
      <c r="E19" s="7">
        <v>1379515.7703576672</v>
      </c>
      <c r="G19" s="8">
        <v>521666.66666666698</v>
      </c>
      <c r="H19" s="7">
        <v>731664.4861818339</v>
      </c>
    </row>
    <row r="20" spans="1:8" x14ac:dyDescent="0.25">
      <c r="A20" s="5">
        <v>7.2499999999999995E-2</v>
      </c>
      <c r="B20" s="7">
        <v>709506.71255610359</v>
      </c>
      <c r="D20" s="4">
        <v>16</v>
      </c>
      <c r="E20" s="7">
        <v>1476081.8742827037</v>
      </c>
      <c r="G20" s="8">
        <v>529166.66666666698</v>
      </c>
      <c r="H20" s="7">
        <v>742183.62416208384</v>
      </c>
    </row>
    <row r="21" spans="1:8" x14ac:dyDescent="0.25">
      <c r="A21" s="5">
        <v>7.2999999999999995E-2</v>
      </c>
      <c r="B21" s="7">
        <v>711162.11713829625</v>
      </c>
      <c r="D21" s="4">
        <v>17</v>
      </c>
      <c r="E21" s="7">
        <v>1579407.6054824931</v>
      </c>
      <c r="G21" s="8">
        <v>536666.66666666698</v>
      </c>
      <c r="H21" s="7">
        <v>752702.7621423339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3"/>
  <sheetViews>
    <sheetView tabSelected="1" zoomScale="84" zoomScaleNormal="84" workbookViewId="0">
      <selection activeCell="C22" sqref="C22"/>
    </sheetView>
  </sheetViews>
  <sheetFormatPr defaultRowHeight="15" x14ac:dyDescent="0.25"/>
  <cols>
    <col min="2" max="2" width="31.5703125" customWidth="1"/>
    <col min="3" max="3" width="17" customWidth="1"/>
    <col min="4" max="4" width="18.7109375" customWidth="1"/>
    <col min="7" max="7" width="21.7109375" customWidth="1"/>
    <col min="8" max="8" width="19.85546875" customWidth="1"/>
  </cols>
  <sheetData>
    <row r="1" spans="2:8" ht="18.75" x14ac:dyDescent="0.3">
      <c r="H1" s="9" t="s">
        <v>27</v>
      </c>
    </row>
    <row r="2" spans="2:8" ht="18.75" x14ac:dyDescent="0.3">
      <c r="B2" s="9" t="s">
        <v>16</v>
      </c>
      <c r="C2" s="9" t="s">
        <v>23</v>
      </c>
      <c r="D2" s="9" t="s">
        <v>24</v>
      </c>
    </row>
    <row r="3" spans="2:8" ht="18.75" x14ac:dyDescent="0.3">
      <c r="B3" s="9" t="s">
        <v>17</v>
      </c>
      <c r="C3" s="9">
        <v>22000</v>
      </c>
      <c r="D3" s="9">
        <f>C3*12</f>
        <v>264000</v>
      </c>
      <c r="G3" s="9" t="s">
        <v>28</v>
      </c>
      <c r="H3" s="10">
        <v>5500000</v>
      </c>
    </row>
    <row r="4" spans="2:8" ht="18.75" x14ac:dyDescent="0.3">
      <c r="B4" s="9" t="s">
        <v>18</v>
      </c>
      <c r="C4" s="9">
        <v>23500</v>
      </c>
      <c r="D4" s="9">
        <f>C4*12</f>
        <v>282000</v>
      </c>
      <c r="G4" s="9" t="s">
        <v>29</v>
      </c>
      <c r="H4" s="10">
        <v>125000</v>
      </c>
    </row>
    <row r="5" spans="2:8" ht="18.75" x14ac:dyDescent="0.3">
      <c r="B5" s="9" t="s">
        <v>19</v>
      </c>
      <c r="C5" s="9">
        <v>25000</v>
      </c>
      <c r="D5" s="9">
        <f>C5*12</f>
        <v>300000</v>
      </c>
      <c r="G5" s="9" t="s">
        <v>30</v>
      </c>
      <c r="H5" s="10">
        <v>55000</v>
      </c>
    </row>
    <row r="6" spans="2:8" ht="18.75" x14ac:dyDescent="0.3">
      <c r="B6" s="9" t="s">
        <v>20</v>
      </c>
      <c r="C6" s="9">
        <v>27000</v>
      </c>
      <c r="D6" s="9">
        <f>C6*12</f>
        <v>324000</v>
      </c>
    </row>
    <row r="7" spans="2:8" ht="18.75" x14ac:dyDescent="0.3">
      <c r="B7" s="9" t="s">
        <v>21</v>
      </c>
      <c r="C7" s="9">
        <v>29000</v>
      </c>
      <c r="D7" s="9">
        <f>C7*12</f>
        <v>348000</v>
      </c>
    </row>
    <row r="8" spans="2:8" ht="18.75" x14ac:dyDescent="0.3">
      <c r="B8" s="9" t="s">
        <v>22</v>
      </c>
    </row>
    <row r="11" spans="2:8" ht="18.75" x14ac:dyDescent="0.3">
      <c r="B11" s="9" t="s">
        <v>25</v>
      </c>
      <c r="C11" s="10">
        <v>500000</v>
      </c>
    </row>
    <row r="13" spans="2:8" ht="18.75" x14ac:dyDescent="0.3">
      <c r="B13" s="9" t="s">
        <v>26</v>
      </c>
      <c r="C13" s="10">
        <f>SUM(D4,D3,D6,D5,D7)+C11</f>
        <v>2018000</v>
      </c>
      <c r="H13" s="10">
        <f>SUM(H3,H4,H5)</f>
        <v>5680000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placement</vt:lpstr>
      <vt:lpstr>whatif</vt:lpstr>
      <vt:lpstr>RentVSBuy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Thete</dc:creator>
  <cp:lastModifiedBy>NCACCOUNTS</cp:lastModifiedBy>
  <dcterms:created xsi:type="dcterms:W3CDTF">2026-01-24T12:22:03Z</dcterms:created>
  <dcterms:modified xsi:type="dcterms:W3CDTF">2026-01-27T13:00:49Z</dcterms:modified>
</cp:coreProperties>
</file>