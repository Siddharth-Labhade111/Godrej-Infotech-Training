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Godrej Training\"/>
    </mc:Choice>
  </mc:AlternateContent>
  <bookViews>
    <workbookView xWindow="0" yWindow="0" windowWidth="20490" windowHeight="8925" firstSheet="2" activeTab="3"/>
  </bookViews>
  <sheets>
    <sheet name="Name &amp; Email Info " sheetId="2" r:id="rId1"/>
    <sheet name="sme29012026" sheetId="1" r:id="rId2"/>
    <sheet name="sme30012026" sheetId="3" r:id="rId3"/>
    <sheet name="202631JanComparisonData" sheetId="4" r:id="rId4"/>
    <sheet name="Excell Visualization" sheetId="5" r:id="rId5"/>
    <sheet name="Power BI Visualization" sheetId="6" r:id="rId6"/>
  </sheets>
  <calcPr calcId="152511"/>
</workbook>
</file>

<file path=xl/calcChain.xml><?xml version="1.0" encoding="utf-8"?>
<calcChain xmlns="http://schemas.openxmlformats.org/spreadsheetml/2006/main">
  <c r="J31" i="5" l="1"/>
  <c r="J30" i="5"/>
  <c r="J29" i="5"/>
  <c r="J28" i="5"/>
  <c r="J27" i="5"/>
  <c r="J26" i="5"/>
  <c r="J25" i="5"/>
  <c r="J24" i="5"/>
  <c r="J33" i="5" s="1"/>
  <c r="J23" i="5"/>
  <c r="J22" i="5"/>
  <c r="J15" i="5"/>
  <c r="J14" i="5"/>
  <c r="J13" i="5"/>
  <c r="J12" i="5"/>
  <c r="J11" i="5"/>
  <c r="J10" i="5"/>
  <c r="J9" i="5"/>
  <c r="J8" i="5"/>
  <c r="J7" i="5"/>
  <c r="J6" i="5"/>
  <c r="J17" i="5" s="1"/>
  <c r="J30" i="4"/>
  <c r="J29" i="4"/>
  <c r="J28" i="4"/>
  <c r="J27" i="4"/>
  <c r="J26" i="4"/>
  <c r="J25" i="4"/>
  <c r="J24" i="4"/>
  <c r="J23" i="4"/>
  <c r="J22" i="4"/>
  <c r="J21" i="4"/>
  <c r="J20" i="4"/>
  <c r="J19" i="4"/>
  <c r="J18" i="4"/>
  <c r="J17" i="4"/>
  <c r="J16" i="4"/>
  <c r="J15" i="4"/>
  <c r="J14" i="4"/>
  <c r="J13" i="4"/>
  <c r="J12" i="4"/>
  <c r="J11" i="4"/>
  <c r="J10" i="4"/>
  <c r="J9" i="4"/>
  <c r="J8" i="4"/>
  <c r="J7" i="4"/>
  <c r="J6" i="4"/>
  <c r="J5" i="4"/>
  <c r="J4" i="4"/>
</calcChain>
</file>

<file path=xl/sharedStrings.xml><?xml version="1.0" encoding="utf-8"?>
<sst xmlns="http://schemas.openxmlformats.org/spreadsheetml/2006/main" count="4770" uniqueCount="1026">
  <si>
    <t>MARKET</t>
  </si>
  <si>
    <t>SERIES</t>
  </si>
  <si>
    <t>SYMBOL</t>
  </si>
  <si>
    <t>SECURITY</t>
  </si>
  <si>
    <t>PREV_CL_PR</t>
  </si>
  <si>
    <t>OPEN_PRICE</t>
  </si>
  <si>
    <t>HIGH_PRICE</t>
  </si>
  <si>
    <t>LOW_PRICE</t>
  </si>
  <si>
    <t>CLOSE_PRICE</t>
  </si>
  <si>
    <t>NET_TRDVAL</t>
  </si>
  <si>
    <t>NET_TRDQTY</t>
  </si>
  <si>
    <t>CORP_IND</t>
  </si>
  <si>
    <t>HI_52_WK</t>
  </si>
  <si>
    <t>LO_52_WK</t>
  </si>
  <si>
    <t>N</t>
  </si>
  <si>
    <t>SM</t>
  </si>
  <si>
    <t>AGUL</t>
  </si>
  <si>
    <t>A G UNIVERSAL LIMITED</t>
  </si>
  <si>
    <t xml:space="preserve"> </t>
  </si>
  <si>
    <t>AAKAAR</t>
  </si>
  <si>
    <t>AAKAAR MEDICAL TECHNO LTD</t>
  </si>
  <si>
    <t>AARADHYA</t>
  </si>
  <si>
    <t>AARADHYA DISPOSAL INDUS L</t>
  </si>
  <si>
    <t>AATMAJ</t>
  </si>
  <si>
    <t>AATMAJ HEALTHCARE LIMITED</t>
  </si>
  <si>
    <t>ABHAPOWER</t>
  </si>
  <si>
    <t>ABHA POWER N STEEL LTD</t>
  </si>
  <si>
    <t>ABSMARINE</t>
  </si>
  <si>
    <t>ABS MARINE SERVICES LTD</t>
  </si>
  <si>
    <t>ACCENTMIC</t>
  </si>
  <si>
    <t>ACCENT MICROCELL LIMITED</t>
  </si>
  <si>
    <t>ACCORD</t>
  </si>
  <si>
    <t>ACCORD SYNERGY LIMITED</t>
  </si>
  <si>
    <t>ST</t>
  </si>
  <si>
    <t>ACCPL</t>
  </si>
  <si>
    <t>ACCRETION PHARMA LIMITED</t>
  </si>
  <si>
    <t>ACTIVEINFR</t>
  </si>
  <si>
    <t>ACTIVE INFRASTRUCTURES L</t>
  </si>
  <si>
    <t>ADDICTIVE</t>
  </si>
  <si>
    <t>ADDICTIVE LEARNING TECH L</t>
  </si>
  <si>
    <t>AUSL</t>
  </si>
  <si>
    <t>ADITYA ULTRA STEEL LTD</t>
  </si>
  <si>
    <t>AERON</t>
  </si>
  <si>
    <t>AERON COMPOSITE LIMITED</t>
  </si>
  <si>
    <t>AESTHETIK</t>
  </si>
  <si>
    <t>AESTHETIK ENGINEERS LTD</t>
  </si>
  <si>
    <t>AGARWALTUF</t>
  </si>
  <si>
    <t>AGARWAL TOUGH GLASS IND L</t>
  </si>
  <si>
    <t>AGNI</t>
  </si>
  <si>
    <t>AGNI GREEN POWER LTD</t>
  </si>
  <si>
    <t>AIMTRON</t>
  </si>
  <si>
    <t>AIMTRON ELECTRONICS LTD</t>
  </si>
  <si>
    <t>AKANKSHA</t>
  </si>
  <si>
    <t>AKANKSHA POWER N INFRA L</t>
  </si>
  <si>
    <t>AKIKO</t>
  </si>
  <si>
    <t>AKIKO GLOBAL SERVICES L</t>
  </si>
  <si>
    <t>ALCODIS</t>
  </si>
  <si>
    <t>ALCOKRAFT DISTILLERIE LTD</t>
  </si>
  <si>
    <t>ALLETEC</t>
  </si>
  <si>
    <t>ALL E TECHNOLOGIES LTD</t>
  </si>
  <si>
    <t>ALPEXSOLAR</t>
  </si>
  <si>
    <t>ALPEX SOLAR LIMITED</t>
  </si>
  <si>
    <t>AMBEY</t>
  </si>
  <si>
    <t>AMBEY LABORATORIES LTD</t>
  </si>
  <si>
    <t>AMEYA</t>
  </si>
  <si>
    <t>AMEYA PRECISION ENG LTD</t>
  </si>
  <si>
    <t>AMCL</t>
  </si>
  <si>
    <t>ANB METAL CAST LIMITED</t>
  </si>
  <si>
    <t>AISL</t>
  </si>
  <si>
    <t>ANI INTEGRATED SERV LTD.</t>
  </si>
  <si>
    <t>ANLON</t>
  </si>
  <si>
    <t>ANLON TECHNOLOGY SOL LTD</t>
  </si>
  <si>
    <t>ANNAPURNA</t>
  </si>
  <si>
    <t>ANNAPURNA SWADISHT LTD</t>
  </si>
  <si>
    <t>ANYA</t>
  </si>
  <si>
    <t>ANYA POLYTECH &amp; FERTI LTD</t>
  </si>
  <si>
    <t>APEXECO</t>
  </si>
  <si>
    <t>APEX ECOTECH LIMITED</t>
  </si>
  <si>
    <t>APRAMEYA</t>
  </si>
  <si>
    <t>APRAMEYA ENGINEERING LTD</t>
  </si>
  <si>
    <t>ARCIIL</t>
  </si>
  <si>
    <t>ARC INSULATION &amp; INSU LTD</t>
  </si>
  <si>
    <t>ARHAM</t>
  </si>
  <si>
    <t>ARHAM TECHNOLOGIES LTD</t>
  </si>
  <si>
    <t>ARIHANTACA</t>
  </si>
  <si>
    <t>ARIHANT ACADEMY LIMITED</t>
  </si>
  <si>
    <t>ARMOUR</t>
  </si>
  <si>
    <t>ARMOUR SECURITY (INDIA) L</t>
  </si>
  <si>
    <t>ARUNAYA</t>
  </si>
  <si>
    <t>ARUNAYA ORGANICS LIMITED</t>
  </si>
  <si>
    <t>ARVINDPORT</t>
  </si>
  <si>
    <t>ARVIND PORT AND INFRA LTD</t>
  </si>
  <si>
    <t>ASCOM</t>
  </si>
  <si>
    <t>ASCOM LEASIN &amp; INVEST LTD</t>
  </si>
  <si>
    <t>ASHALOG</t>
  </si>
  <si>
    <t>ASHAPURA LOGISTICS LTD</t>
  </si>
  <si>
    <t>ASHWINI</t>
  </si>
  <si>
    <t>ASHWINI CONTAINER MOVER L</t>
  </si>
  <si>
    <t>ASPIRE</t>
  </si>
  <si>
    <t>ASPIRE &amp; INNOVATIVE ADV L</t>
  </si>
  <si>
    <t>ATCENERGY</t>
  </si>
  <si>
    <t>ATC ENERGIES SYSTEM LTD</t>
  </si>
  <si>
    <t>ATMASTCO</t>
  </si>
  <si>
    <t>ATMASTCO LIMITED</t>
  </si>
  <si>
    <t>AUROIMPEX</t>
  </si>
  <si>
    <t>AURO IMPEX &amp; CHEMICALS L</t>
  </si>
  <si>
    <t>APS</t>
  </si>
  <si>
    <t>AUSTRALIAN PREM SOLAR I L</t>
  </si>
  <si>
    <t>AVANA</t>
  </si>
  <si>
    <t>AVANA ELECTROSYSTEMS LTD</t>
  </si>
  <si>
    <t>AVIANSH</t>
  </si>
  <si>
    <t>AVI ANSH TEXTILE LIMITED</t>
  </si>
  <si>
    <t>AVPINFRA</t>
  </si>
  <si>
    <t>AVP INFRACON LIMITED</t>
  </si>
  <si>
    <t>BAGDIGITAL</t>
  </si>
  <si>
    <t>B.A.G.CONVERGENCE LIMITED</t>
  </si>
  <si>
    <t>BABAFP</t>
  </si>
  <si>
    <t>BABA FOOD PROCESSING</t>
  </si>
  <si>
    <t>BAHETI</t>
  </si>
  <si>
    <t>BAHETI RECYCLING IND LTD</t>
  </si>
  <si>
    <t>BALAJIPHOS</t>
  </si>
  <si>
    <t>BALAJI PHOSPHATES LIMITED</t>
  </si>
  <si>
    <t>BARFLEX</t>
  </si>
  <si>
    <t>BARFLEX POLYFILMS LIMITED</t>
  </si>
  <si>
    <t>BASILIC</t>
  </si>
  <si>
    <t>BASILIC FLY STUDIO LTD</t>
  </si>
  <si>
    <t>BAWEJA</t>
  </si>
  <si>
    <t>BAWEJA STUDIOS LIMITED</t>
  </si>
  <si>
    <t>BEACON</t>
  </si>
  <si>
    <t>BEACON TRUSTEESHIP LTD</t>
  </si>
  <si>
    <t>BEWLTD</t>
  </si>
  <si>
    <t>BEW ENGINEERING LIMITED</t>
  </si>
  <si>
    <t>BHADORA</t>
  </si>
  <si>
    <t>BHADORA INDUSTRIES LTD</t>
  </si>
  <si>
    <t>BIKEWO</t>
  </si>
  <si>
    <t>BIKEWO GREEN TECH LIMITED</t>
  </si>
  <si>
    <t>BLUEPEBBLE</t>
  </si>
  <si>
    <t>BLUE PEBBLE LIMITED</t>
  </si>
  <si>
    <t>BMETRICS</t>
  </si>
  <si>
    <t>BOMBAY METRICS S C LTD</t>
  </si>
  <si>
    <t>BRACEPORT</t>
  </si>
  <si>
    <t>BRACE PORT LOGISTICS LTD</t>
  </si>
  <si>
    <t>BULKCORP</t>
  </si>
  <si>
    <t>BULKCORP INTERNATIONAL L</t>
  </si>
  <si>
    <t>CPS</t>
  </si>
  <si>
    <t>C P S SHAPERS LIMITED</t>
  </si>
  <si>
    <t>C2C</t>
  </si>
  <si>
    <t>C2C ADVANCED SYSTEMS LTD</t>
  </si>
  <si>
    <t>CADSYS</t>
  </si>
  <si>
    <t>CADSYS (INDIA) LIMITED</t>
  </si>
  <si>
    <t>CANARYS</t>
  </si>
  <si>
    <t>CANARYS AUTOMATIONS LTD</t>
  </si>
  <si>
    <t>CEDAAR</t>
  </si>
  <si>
    <t>CEDAAR TEXTILE LIMITED</t>
  </si>
  <si>
    <t>CELLPOINT</t>
  </si>
  <si>
    <t>CELL POINT (INDIA) LTD</t>
  </si>
  <si>
    <t>CELLECOR</t>
  </si>
  <si>
    <t>CELLECOR GADGETS LIMITED</t>
  </si>
  <si>
    <t>CMNL</t>
  </si>
  <si>
    <t>CHAMAN METALLICS LIMITED</t>
  </si>
  <si>
    <t>CHAMUNDA</t>
  </si>
  <si>
    <t>CHAMUNDA ELECTRICAL LTD</t>
  </si>
  <si>
    <t>CHANDAN</t>
  </si>
  <si>
    <t>CHANDAN HEALTHCARE LTD</t>
  </si>
  <si>
    <t>CHAVDA</t>
  </si>
  <si>
    <t>CHAVDA INFRA LIMITED</t>
  </si>
  <si>
    <t>CHETANA</t>
  </si>
  <si>
    <t>CHETANA EDUCATION LIMITED</t>
  </si>
  <si>
    <t>CLASSICEIL</t>
  </si>
  <si>
    <t>CLASSIC ELECTRODE (IND) L</t>
  </si>
  <si>
    <t>CSSL</t>
  </si>
  <si>
    <t>CLEAR SECURED SERVICES L</t>
  </si>
  <si>
    <t>COMMITTED</t>
  </si>
  <si>
    <t>COMMITTED CARGO CARE LTD</t>
  </si>
  <si>
    <t>CONNPLEX</t>
  </si>
  <si>
    <t>CONNPLEX CINEMAS LIMITED</t>
  </si>
  <si>
    <t>COOLCAPS</t>
  </si>
  <si>
    <t>COOL CAPS INDUSTRIES LTD</t>
  </si>
  <si>
    <t>CRAYONS</t>
  </si>
  <si>
    <t>CRAYONS ADVERTISING LTD</t>
  </si>
  <si>
    <t>CGRAPHICS</t>
  </si>
  <si>
    <t>CREATIVE GRAPHICS S IND L</t>
  </si>
  <si>
    <t>CURIS</t>
  </si>
  <si>
    <t>CURIS LIFESCIENCES LTD</t>
  </si>
  <si>
    <t>CMRSL</t>
  </si>
  <si>
    <t>CYBER MEDIA RES &amp; SER LTD</t>
  </si>
  <si>
    <t>DANISH</t>
  </si>
  <si>
    <t>DANISH POWER LIMITED</t>
  </si>
  <si>
    <t>DCCL</t>
  </si>
  <si>
    <t>DAR CREDIT &amp; CAPITAL LTD</t>
  </si>
  <si>
    <t>DCG</t>
  </si>
  <si>
    <t>DCG CABLES &amp; WIRES LTD</t>
  </si>
  <si>
    <t>DENEERS</t>
  </si>
  <si>
    <t>DE NEERS TOOLS LIMITED</t>
  </si>
  <si>
    <t>DEEM</t>
  </si>
  <si>
    <t>DEEM ROLL TECH LIMITED</t>
  </si>
  <si>
    <t>DELAPLEX</t>
  </si>
  <si>
    <t>DELAPLEX LIMITED</t>
  </si>
  <si>
    <t>DELTIC</t>
  </si>
  <si>
    <t>DELTA AUTOCORP LIMITED</t>
  </si>
  <si>
    <t>DHANLAXMI</t>
  </si>
  <si>
    <t>DHANLAXMI CROP SCIENCE L</t>
  </si>
  <si>
    <t>DHARARAIL</t>
  </si>
  <si>
    <t>DHARA RAIL PROJECTS LTD</t>
  </si>
  <si>
    <t>G</t>
  </si>
  <si>
    <t>DHARIWAL</t>
  </si>
  <si>
    <t>DHARIWALCORP LIMITED</t>
  </si>
  <si>
    <t>DIGIKORE</t>
  </si>
  <si>
    <t>DIGIKORE STUDIOS LIMITED</t>
  </si>
  <si>
    <t>DIVINEHIRA</t>
  </si>
  <si>
    <t>DIVINE HIRA JEWELLERS LTD</t>
  </si>
  <si>
    <t>DPEL</t>
  </si>
  <si>
    <t>DIVINE POWER ENERGY LTD</t>
  </si>
  <si>
    <t>DOLLEX</t>
  </si>
  <si>
    <t>DOLLEX AGROTECH LIMITED</t>
  </si>
  <si>
    <t>DRONE</t>
  </si>
  <si>
    <t>DRONE DESTINATION LIMITED</t>
  </si>
  <si>
    <t>DRSCARGO</t>
  </si>
  <si>
    <t>DRS CARGO MOVERS LIMITED</t>
  </si>
  <si>
    <t>DRSDILIP</t>
  </si>
  <si>
    <t>DRS DILIP ROADLINES LTD.</t>
  </si>
  <si>
    <t>DUCOL</t>
  </si>
  <si>
    <t>DUCOL ORGS AND COLOURS LT</t>
  </si>
  <si>
    <t>DUGLOBAL</t>
  </si>
  <si>
    <t>DUDIGITAL GLOBAL LIMITED</t>
  </si>
  <si>
    <t>DURLAX</t>
  </si>
  <si>
    <t>DURLAX TOP SURFACE LTD</t>
  </si>
  <si>
    <t>DYNAMIC</t>
  </si>
  <si>
    <t>DYNAMIC SRVCS &amp; SEC LTD</t>
  </si>
  <si>
    <t>EFACTOR</t>
  </si>
  <si>
    <t>E FACTOR EXPERIENCES LTD</t>
  </si>
  <si>
    <t>E2ERAIL</t>
  </si>
  <si>
    <t>E TO E TRANS INFRA LTD</t>
  </si>
  <si>
    <t>ECOLINE</t>
  </si>
  <si>
    <t>ECOLINE EXIM LIMITED</t>
  </si>
  <si>
    <t>EFFWA</t>
  </si>
  <si>
    <t>EFFWA INFRA &amp; RESEARCH L</t>
  </si>
  <si>
    <t>EFORCE</t>
  </si>
  <si>
    <t>ELECTRO FORCE (INDIA) LTD</t>
  </si>
  <si>
    <t>ELGNZ</t>
  </si>
  <si>
    <t>ELEGANZ INTERIORS LIMITED</t>
  </si>
  <si>
    <t>EMAPARTNER</t>
  </si>
  <si>
    <t>EMA PARTNERS INDIA LTD</t>
  </si>
  <si>
    <t>ETML</t>
  </si>
  <si>
    <t>EMERALD TYRE MANUF LTD</t>
  </si>
  <si>
    <t>EMKAYTOOLS</t>
  </si>
  <si>
    <t>EMKAY TAP &amp; CUT. TOOL LTD</t>
  </si>
  <si>
    <t>ENCOMPAS</t>
  </si>
  <si>
    <t>ENCOMPASS DESIGN INDIA L</t>
  </si>
  <si>
    <t>EMMIL</t>
  </si>
  <si>
    <t>ENERGY MISSION MACH IND L</t>
  </si>
  <si>
    <t>ENFUSE</t>
  </si>
  <si>
    <t>ENFUSE SOLUTIONS LIMITED</t>
  </si>
  <si>
    <t>ENSER</t>
  </si>
  <si>
    <t>ENSER COMMUNICATIONS LTD</t>
  </si>
  <si>
    <t>ENVIRO</t>
  </si>
  <si>
    <t>ENVIROTECH SYSTEMS LTD</t>
  </si>
  <si>
    <t>EEPL</t>
  </si>
  <si>
    <t>EPPELTONE ENGINEERS LTD</t>
  </si>
  <si>
    <t>EPWINDIA</t>
  </si>
  <si>
    <t>EPW INDIA LIMITED</t>
  </si>
  <si>
    <t>ESCONET</t>
  </si>
  <si>
    <t>ESCONET TECHNOLOGIES LTD</t>
  </si>
  <si>
    <t>ESPRIT</t>
  </si>
  <si>
    <t>ESPRIT STONES LIMITED</t>
  </si>
  <si>
    <t>ESFL</t>
  </si>
  <si>
    <t>ESSEN SPECIALITY FILMS L</t>
  </si>
  <si>
    <t>EXCELLENT</t>
  </si>
  <si>
    <t>EXCELLENT WIRES N PACK L</t>
  </si>
  <si>
    <t>EXIMROUTES</t>
  </si>
  <si>
    <t>EXIM ROUTES LIMITED</t>
  </si>
  <si>
    <t>FALCONTECH</t>
  </si>
  <si>
    <t>FALCON TECHNOPROJ IND LTD</t>
  </si>
  <si>
    <t>FELIX</t>
  </si>
  <si>
    <t>FELIX INDUSTRIES LTD.</t>
  </si>
  <si>
    <t>FIDEL</t>
  </si>
  <si>
    <t>FIDEL SOFTECH LIMITED</t>
  </si>
  <si>
    <t>FINBUD</t>
  </si>
  <si>
    <t>FINBUD FINANCIAL SERV LTD</t>
  </si>
  <si>
    <t>FLYSBS</t>
  </si>
  <si>
    <t>FLYSBS AVIATION LIMITED</t>
  </si>
  <si>
    <t>FWSTC</t>
  </si>
  <si>
    <t>FLYWINGS SIMULAT T C LTD</t>
  </si>
  <si>
    <t>FONEBOX</t>
  </si>
  <si>
    <t>FONEBOX RETAIL LIMITED</t>
  </si>
  <si>
    <t>FORCAS</t>
  </si>
  <si>
    <t>FORCAS STUDIO LIMITED</t>
  </si>
  <si>
    <t>FORGEAUTO</t>
  </si>
  <si>
    <t>FORGE AUTO INTERNATION L</t>
  </si>
  <si>
    <t>FRESHARA</t>
  </si>
  <si>
    <t>FRESHARA AGRO EXPORTS LTD</t>
  </si>
  <si>
    <t>FROG</t>
  </si>
  <si>
    <t>FROG INNOVATIONS LIMITED</t>
  </si>
  <si>
    <t>GAJANAND</t>
  </si>
  <si>
    <t>GAJANAND INTERNATIONAL L</t>
  </si>
  <si>
    <t>GML</t>
  </si>
  <si>
    <t>GALAXY MEDICARE LIMITED</t>
  </si>
  <si>
    <t>GGBL</t>
  </si>
  <si>
    <t>GANESH GREEN BHARAT LTD</t>
  </si>
  <si>
    <t>GANESHIN</t>
  </si>
  <si>
    <t>GANESH INFRAWORLD LIMITED</t>
  </si>
  <si>
    <t>GANGABATH</t>
  </si>
  <si>
    <t>GANGA BATH FITTINGS LTD</t>
  </si>
  <si>
    <t>GRCL</t>
  </si>
  <si>
    <t>GAYATRI RUBB AND CHEM LTD</t>
  </si>
  <si>
    <t>GLOBALPET</t>
  </si>
  <si>
    <t>GLOBAL PET INDUSTRIES LTD</t>
  </si>
  <si>
    <t>GICL</t>
  </si>
  <si>
    <t>GLOBE INTL CARRIERS LTD</t>
  </si>
  <si>
    <t>GSTL</t>
  </si>
  <si>
    <t>GLOBESECURE TECHNO LTD</t>
  </si>
  <si>
    <t>GOLDSTAR</t>
  </si>
  <si>
    <t>GOLDSTAR POWER LIMITED</t>
  </si>
  <si>
    <t>GOYALSALT</t>
  </si>
  <si>
    <t>GOYAL SALT LIMITED</t>
  </si>
  <si>
    <t>GPECO</t>
  </si>
  <si>
    <t>GP ECO SOLUTIONS INDIA L</t>
  </si>
  <si>
    <t>GCHOTELS</t>
  </si>
  <si>
    <t>GRAND CONTINENT HOTELS L</t>
  </si>
  <si>
    <t>GRAPHISAD</t>
  </si>
  <si>
    <t>GRAPHISADS LIMITED</t>
  </si>
  <si>
    <t>GREENCHEF</t>
  </si>
  <si>
    <t>GREENCHEF APPLIANCES LTD</t>
  </si>
  <si>
    <t>GREENLEAF</t>
  </si>
  <si>
    <t>GREENLEAF ENVIROTECH LTD</t>
  </si>
  <si>
    <t>GRETEX</t>
  </si>
  <si>
    <t>GRETEX INDUSTRIES LTD.</t>
  </si>
  <si>
    <t>BIRDYS</t>
  </si>
  <si>
    <t>GRILL SPLENDOUR SER LTD</t>
  </si>
  <si>
    <t>GSMFOILS</t>
  </si>
  <si>
    <t>GSM FOILS LIMITED</t>
  </si>
  <si>
    <t>GURUNANAK</t>
  </si>
  <si>
    <t>GURUNANAK AGRICULTUR IN L</t>
  </si>
  <si>
    <t>WHITEFORCE</t>
  </si>
  <si>
    <t>HAPPY SQUARE OUTSOURC S L</t>
  </si>
  <si>
    <t>HIGREEN</t>
  </si>
  <si>
    <t>HI GREEN CARBON LIMITED</t>
  </si>
  <si>
    <t>HOACFOODS</t>
  </si>
  <si>
    <t>HOAC FOODS INDIA LIMITED</t>
  </si>
  <si>
    <t>HOMESFY</t>
  </si>
  <si>
    <t>HOMESFY REALTY LIMITED</t>
  </si>
  <si>
    <t>HPTL</t>
  </si>
  <si>
    <t>HP TELECOM INDIA LIMITED</t>
  </si>
  <si>
    <t>HRHNEXT</t>
  </si>
  <si>
    <t>HRH NEXT SERVICES LIMITED</t>
  </si>
  <si>
    <t>IDEALTECHO</t>
  </si>
  <si>
    <t>IDEAL TECHNOPLAST IND LTD</t>
  </si>
  <si>
    <t>IDENTICAL</t>
  </si>
  <si>
    <t>IDENTICAL BRAINS STUDIO L</t>
  </si>
  <si>
    <t>IEML</t>
  </si>
  <si>
    <t>INDIAN EMULSIFIERS LTD</t>
  </si>
  <si>
    <t>IPHL</t>
  </si>
  <si>
    <t>INDIAN PHOSPHATE LIMITED</t>
  </si>
  <si>
    <t>INFINIUM</t>
  </si>
  <si>
    <t>INFINIUM PHARMACHEM LTD</t>
  </si>
  <si>
    <t>INFLUX</t>
  </si>
  <si>
    <t>INFLUX HEALTHTECH LIMITED</t>
  </si>
  <si>
    <t>INFOLLION</t>
  </si>
  <si>
    <t>INFOLLION RESEARCH SER L</t>
  </si>
  <si>
    <t>INNOMET</t>
  </si>
  <si>
    <t>INNOMET ADVANCED MATERI L</t>
  </si>
  <si>
    <t>ITTL</t>
  </si>
  <si>
    <t>INNOVATIVE TYRE &amp; TUBE LT</t>
  </si>
  <si>
    <t>INSPIRE</t>
  </si>
  <si>
    <t>INSPIRE FILMS LIMITED</t>
  </si>
  <si>
    <t>IPSL</t>
  </si>
  <si>
    <t>INTEGRATED PERSO SER LTD</t>
  </si>
  <si>
    <t>INM</t>
  </si>
  <si>
    <t>INTERIORS &amp; MORE LIMITED</t>
  </si>
  <si>
    <t>INVICTA</t>
  </si>
  <si>
    <t>INVICTA DIAGNOSTIC LTD</t>
  </si>
  <si>
    <t>ISHAN</t>
  </si>
  <si>
    <t>ISHAN INTERNATIONAL LTD</t>
  </si>
  <si>
    <t>ITALIANE</t>
  </si>
  <si>
    <t>ITALIAN EDIBLES LIMITED</t>
  </si>
  <si>
    <t>IWARE</t>
  </si>
  <si>
    <t>IWARE SUPPLYCHAIN SER LTD</t>
  </si>
  <si>
    <t>JAINIK</t>
  </si>
  <si>
    <t>JAINIK POWER CABLES LTD</t>
  </si>
  <si>
    <t>JALAN</t>
  </si>
  <si>
    <t>JALAN TRANSOLU. INDIA LTD</t>
  </si>
  <si>
    <t>JAYBEE</t>
  </si>
  <si>
    <t>JAY BEE LAMINATIONS LTD</t>
  </si>
  <si>
    <t>KORE</t>
  </si>
  <si>
    <t>JAY JALARAM TECHNO LTD</t>
  </si>
  <si>
    <t>JAYESH</t>
  </si>
  <si>
    <t>JAYESH LOGISTICS LIMITED</t>
  </si>
  <si>
    <t>JEYYAM</t>
  </si>
  <si>
    <t>JEYYAM GLOBAL FOODS LTD</t>
  </si>
  <si>
    <t>JFLLIFE</t>
  </si>
  <si>
    <t>JFL LIFE SCIENCES LIMITED</t>
  </si>
  <si>
    <t>JYOTIGLOBL</t>
  </si>
  <si>
    <t>JYOTI GLOBAL PLAST LTD</t>
  </si>
  <si>
    <t>K2INFRA</t>
  </si>
  <si>
    <t>K2 INFRAGEN LIMITED</t>
  </si>
  <si>
    <t>KKJEWELS</t>
  </si>
  <si>
    <t>KABRA JEWELS LIMITED</t>
  </si>
  <si>
    <t>KALANA</t>
  </si>
  <si>
    <t>KALANA ISPAT LIMITED</t>
  </si>
  <si>
    <t>KANDARP</t>
  </si>
  <si>
    <t>KANDARP DG SMART BPO LTD</t>
  </si>
  <si>
    <t>KARNIKA</t>
  </si>
  <si>
    <t>KARNIKA INDUSTRIES LTD</t>
  </si>
  <si>
    <t>KATARIA</t>
  </si>
  <si>
    <t>KATARIA INDUSTRIES LTD</t>
  </si>
  <si>
    <t>KLL</t>
  </si>
  <si>
    <t>KAUSHALYA LOGISTICS LTD</t>
  </si>
  <si>
    <t>KCEIL</t>
  </si>
  <si>
    <t>KAY CEE ENERGY &amp; INFRA L</t>
  </si>
  <si>
    <t>KAYTEX</t>
  </si>
  <si>
    <t>KAYTEX FABRICS LIMITED</t>
  </si>
  <si>
    <t>KCK</t>
  </si>
  <si>
    <t>KCK INDUSTRIES LTD</t>
  </si>
  <si>
    <t>KEN</t>
  </si>
  <si>
    <t>KEN ENTERPRISES LIMITED</t>
  </si>
  <si>
    <t>KODYTECH</t>
  </si>
  <si>
    <t>KODY TECHNOLAB LIMITED</t>
  </si>
  <si>
    <t>KONSTELEC</t>
  </si>
  <si>
    <t>KONSTELEC ENGINEERS LTD</t>
  </si>
  <si>
    <t>KONTOR</t>
  </si>
  <si>
    <t>KONTOR SPACE LIMITED</t>
  </si>
  <si>
    <t>KDL</t>
  </si>
  <si>
    <t>KORE DIGITAL LIMITED</t>
  </si>
  <si>
    <t>KOTYARK</t>
  </si>
  <si>
    <t>KOTYARK INDUSTRIES LTD</t>
  </si>
  <si>
    <t>KRISHCA</t>
  </si>
  <si>
    <t>KRISHCA STRAPPING SLTN L</t>
  </si>
  <si>
    <t>KRMAYURVED</t>
  </si>
  <si>
    <t>KRM AYURVEDA LIMITED</t>
  </si>
  <si>
    <t>KEL</t>
  </si>
  <si>
    <t>KUNDAN EDIFICE LIMITED</t>
  </si>
  <si>
    <t>LAKSHYA</t>
  </si>
  <si>
    <t>LAKSHYA POWERTECH LIMITED</t>
  </si>
  <si>
    <t>LAMOSAIC</t>
  </si>
  <si>
    <t>LAMOSAIC INDIA LIMITED</t>
  </si>
  <si>
    <t>LLOYDS</t>
  </si>
  <si>
    <t>LLOYDS LUXURIES LIMITED</t>
  </si>
  <si>
    <t>MVKAGRO</t>
  </si>
  <si>
    <t>M.V.K. AGRO FOOD PROD LTD</t>
  </si>
  <si>
    <t>MACOBSTECH</t>
  </si>
  <si>
    <t>MACOBS TECHNOLOGIES LTD</t>
  </si>
  <si>
    <t>MADHUSUDAN</t>
  </si>
  <si>
    <t>MADHUSUDAN MASALA LIMITED</t>
  </si>
  <si>
    <t>MAGSON</t>
  </si>
  <si>
    <t>MAGSON RETAIL AND DIST L</t>
  </si>
  <si>
    <t>MRIL</t>
  </si>
  <si>
    <t>MAHENDRA REALTO &amp; INFRA L</t>
  </si>
  <si>
    <t>MAHICKRA</t>
  </si>
  <si>
    <t>MAHICKRA CHEMICAL LIMITED</t>
  </si>
  <si>
    <t>MAITREYA</t>
  </si>
  <si>
    <t>MAITREYA MEDICARE LIMITED</t>
  </si>
  <si>
    <t>MPEL</t>
  </si>
  <si>
    <t>MANAS POLYMER N ENERGIE L</t>
  </si>
  <si>
    <t>MANDEEP</t>
  </si>
  <si>
    <t>MANDEEP AUTO INDUSTRIES L</t>
  </si>
  <si>
    <t>MAL</t>
  </si>
  <si>
    <t>MANGALAM ALLOYS LIMITED</t>
  </si>
  <si>
    <t>MIEL</t>
  </si>
  <si>
    <t>MANGLAM INFRA &amp; ENG LTD</t>
  </si>
  <si>
    <t>MARC</t>
  </si>
  <si>
    <t>MARC TECHNOCRATS LIMITED</t>
  </si>
  <si>
    <t>MARCO</t>
  </si>
  <si>
    <t>MARCO CABLE &amp; CONDUCTOR L</t>
  </si>
  <si>
    <t>MARINETRAN</t>
  </si>
  <si>
    <t>MARINETRANS INDIA LIMITED</t>
  </si>
  <si>
    <t>MDL</t>
  </si>
  <si>
    <t>MARVEL DECOR LIMITED</t>
  </si>
  <si>
    <t>MASON</t>
  </si>
  <si>
    <t>MASON INFRATECH LIMITED</t>
  </si>
  <si>
    <t>MASTER</t>
  </si>
  <si>
    <t>MASTER COMPONENTS LIMITED</t>
  </si>
  <si>
    <t>MGSL</t>
  </si>
  <si>
    <t>MATRIX GEO SOLUTIONS LTD</t>
  </si>
  <si>
    <t>MAXPOSURE</t>
  </si>
  <si>
    <t>MAXPOSURE LIMITED</t>
  </si>
  <si>
    <t>MAXVOLT</t>
  </si>
  <si>
    <t>MAXVOLT ENERGY INDUS L</t>
  </si>
  <si>
    <t>MCON</t>
  </si>
  <si>
    <t>MCON RASAYAN INDIA LTD</t>
  </si>
  <si>
    <t>MEDIORG</t>
  </si>
  <si>
    <t>MEDICAMEN ORGANICS LTD</t>
  </si>
  <si>
    <t>MEGAFLEX</t>
  </si>
  <si>
    <t>MEGA FLEX PLASTICS LTD</t>
  </si>
  <si>
    <t>MEGATHERM</t>
  </si>
  <si>
    <t>MEGATHERM INDUCTION LTD</t>
  </si>
  <si>
    <t>MICROPRO</t>
  </si>
  <si>
    <t>MICROPRO SOFTWARE SOL L</t>
  </si>
  <si>
    <t>MILTON</t>
  </si>
  <si>
    <t>MILTON INDUSTRIES LIMITED</t>
  </si>
  <si>
    <t>MHHL</t>
  </si>
  <si>
    <t>MOHINI HEALTH&amp;HYGIENE LTD</t>
  </si>
  <si>
    <t>MONOPHARMA</t>
  </si>
  <si>
    <t>MONO PHARMACARE LIMITED</t>
  </si>
  <si>
    <t>MONOLITH</t>
  </si>
  <si>
    <t>MONOLITHISCH INDIA LTD</t>
  </si>
  <si>
    <t>MOS</t>
  </si>
  <si>
    <t>MOS UTILITY LIMITED</t>
  </si>
  <si>
    <t>MMEL</t>
  </si>
  <si>
    <t>MOVING MEDIA ENTER LTD</t>
  </si>
  <si>
    <t>MOXSH</t>
  </si>
  <si>
    <t>MOXSH OVERSEAS EDUCON LTD</t>
  </si>
  <si>
    <t>MUNISH</t>
  </si>
  <si>
    <t>MUNISH FORGE LIMITED</t>
  </si>
  <si>
    <t>MYMUDRA</t>
  </si>
  <si>
    <t>MY MUDRA FINCORP LIMITED</t>
  </si>
  <si>
    <t>NRVANDANA</t>
  </si>
  <si>
    <t>N R VANDANA TEX IND LTD</t>
  </si>
  <si>
    <t>NAMAN</t>
  </si>
  <si>
    <t>NAMAN INDUSTRE PRXIMA LTD</t>
  </si>
  <si>
    <t>NAMOEWASTE</t>
  </si>
  <si>
    <t>NAMO EWASTE MANAGEMENT L</t>
  </si>
  <si>
    <t>NEELAM</t>
  </si>
  <si>
    <t>NEELAM LINENS &amp; GAR (I) L</t>
  </si>
  <si>
    <t>NEOCHEM</t>
  </si>
  <si>
    <t>NEOCHEM BIO SOLUTIONS LTD</t>
  </si>
  <si>
    <t>NEPHROCARE</t>
  </si>
  <si>
    <t>NEPHRO CARE INDIA LIMITED</t>
  </si>
  <si>
    <t>NEPTUNE</t>
  </si>
  <si>
    <t>NEPTUNE PETROCHEMICALS L</t>
  </si>
  <si>
    <t>CBAZAAR</t>
  </si>
  <si>
    <t>NET AVENUE TECHNOLOGIES L</t>
  </si>
  <si>
    <t>NEWJAISA</t>
  </si>
  <si>
    <t>NEWJAISA TECHNOLOGIES LTD</t>
  </si>
  <si>
    <t>NMSTEEL</t>
  </si>
  <si>
    <t>NEWMALAYALAM STEEL LTD</t>
  </si>
  <si>
    <t>NIDAN</t>
  </si>
  <si>
    <t>NIDAN LABS AND HEALTH LTD</t>
  </si>
  <si>
    <t>NIKITA</t>
  </si>
  <si>
    <t>NIKITA GRENTEC RECYCL LTD</t>
  </si>
  <si>
    <t>NIRMAN</t>
  </si>
  <si>
    <t>NIRMAN AGRI GENTICS LTD</t>
  </si>
  <si>
    <t>OBSCP</t>
  </si>
  <si>
    <t>OBSC PERFECTION LIMITED</t>
  </si>
  <si>
    <t>OMFURN</t>
  </si>
  <si>
    <t>OMFURN INDIA LIMITED</t>
  </si>
  <si>
    <t>ONDOOR</t>
  </si>
  <si>
    <t>ON DOOR CONCEPTS LIMITED</t>
  </si>
  <si>
    <t>OLIL</t>
  </si>
  <si>
    <t>ONECLICK LOGISTICS IND L</t>
  </si>
  <si>
    <t>ONYX</t>
  </si>
  <si>
    <t>ONYX BIOTEC LIMITED</t>
  </si>
  <si>
    <t>OPTIVALUE</t>
  </si>
  <si>
    <t>OPTIVALUE TEK CONSULT LTD</t>
  </si>
  <si>
    <t>ORIANA</t>
  </si>
  <si>
    <t>ORIANA POWER LIMITED</t>
  </si>
  <si>
    <t>OSELDEVICE</t>
  </si>
  <si>
    <t>OSEL DEVICES LIMITED</t>
  </si>
  <si>
    <t>OWAIS</t>
  </si>
  <si>
    <t>OWAIS METAL &amp; MINERAL</t>
  </si>
  <si>
    <t>PSRAJ</t>
  </si>
  <si>
    <t>P S RAJ STEELS LIMITED</t>
  </si>
  <si>
    <t>PROPEQUITY</t>
  </si>
  <si>
    <t>P. E. ANALYTICS LIMITED</t>
  </si>
  <si>
    <t>PARAGON</t>
  </si>
  <si>
    <t>PARAGON FINE S.C. LTD.</t>
  </si>
  <si>
    <t>PARAMATRIX</t>
  </si>
  <si>
    <t>PARAMATRIX TECHNOLOGIES L</t>
  </si>
  <si>
    <t>PARAMOUNT</t>
  </si>
  <si>
    <t>PARAMOUNT DYE TEC LIMITED</t>
  </si>
  <si>
    <t>PSFL</t>
  </si>
  <si>
    <t>PARAMOUNT SPECIALI FORG L</t>
  </si>
  <si>
    <t>PARIN</t>
  </si>
  <si>
    <t>PARIN ENTERPRISES LIMITED</t>
  </si>
  <si>
    <t>PARTH</t>
  </si>
  <si>
    <t>PARTH ELEC &amp; ENG LTD</t>
  </si>
  <si>
    <t>PARTYCRUS</t>
  </si>
  <si>
    <t>PARTY CRUISERS LIMITED</t>
  </si>
  <si>
    <t>PATILAUTOM</t>
  </si>
  <si>
    <t>PATIL AUTOMATION LIMITED</t>
  </si>
  <si>
    <t>PATTECH</t>
  </si>
  <si>
    <t>PATTECH FITWELL TUB COM L</t>
  </si>
  <si>
    <t>PELATRO</t>
  </si>
  <si>
    <t>PELATRO LIMITED</t>
  </si>
  <si>
    <t>PENTAGON</t>
  </si>
  <si>
    <t>PENTAGON RUBBER LIMITED</t>
  </si>
  <si>
    <t>SZ</t>
  </si>
  <si>
    <t>PERFECT</t>
  </si>
  <si>
    <t>PERFECT INFRAENGINEER LTD</t>
  </si>
  <si>
    <t>PCCL</t>
  </si>
  <si>
    <t>PETRO CARBON AND CHEMI L</t>
  </si>
  <si>
    <t>PHANTOMFX</t>
  </si>
  <si>
    <t>PHANTOM DIGITAL EFF LTD</t>
  </si>
  <si>
    <t>PHOGLOBAL</t>
  </si>
  <si>
    <t>PHOENIX OVERSEAS LIMITED</t>
  </si>
  <si>
    <t>PPSL</t>
  </si>
  <si>
    <t>PICTUREPOST STUDIOS LTD</t>
  </si>
  <si>
    <t>PLADAINFO</t>
  </si>
  <si>
    <t>PLADA INFOTECH SERVICES L</t>
  </si>
  <si>
    <t>POLYSIL</t>
  </si>
  <si>
    <t>POLYSIL IRRIGATION SYST L</t>
  </si>
  <si>
    <t>POSITRON</t>
  </si>
  <si>
    <t>POSITRON ENERGY LIMITED</t>
  </si>
  <si>
    <t>PRAMARA</t>
  </si>
  <si>
    <t>PRAMARA PROMOTIONS LTD</t>
  </si>
  <si>
    <t>PRANIK</t>
  </si>
  <si>
    <t>PRANIK LOGISTICS LIMITED</t>
  </si>
  <si>
    <t>PRATHAM</t>
  </si>
  <si>
    <t>PRATHAM EPC PROJECTS LTD</t>
  </si>
  <si>
    <t>PRECISION</t>
  </si>
  <si>
    <t>PRECISION METALIKS LTD</t>
  </si>
  <si>
    <t>PRLIND</t>
  </si>
  <si>
    <t>PREMIER ROADLINES LIMITED</t>
  </si>
  <si>
    <t>PREMIUM</t>
  </si>
  <si>
    <t>PREMIUM PLAST LIMITED</t>
  </si>
  <si>
    <t>PRESSTONIC</t>
  </si>
  <si>
    <t>PRESSTONIC ENGINEERING L</t>
  </si>
  <si>
    <t>XR</t>
  </si>
  <si>
    <t>PRIMECAB</t>
  </si>
  <si>
    <t>PRIME CABLE INDUSTRIES L</t>
  </si>
  <si>
    <t>PRITIKA</t>
  </si>
  <si>
    <t>PRITIKA ENG COMPO LTD</t>
  </si>
  <si>
    <t>PRIZOR</t>
  </si>
  <si>
    <t>PRIZOR VIZTECH LIMITED</t>
  </si>
  <si>
    <t>PROFX</t>
  </si>
  <si>
    <t>PRO FX TECH LIMITED</t>
  </si>
  <si>
    <t>PROLIFE</t>
  </si>
  <si>
    <t>PROLIFE INDUSTRIES LTD</t>
  </si>
  <si>
    <t>PROV</t>
  </si>
  <si>
    <t>PROVENTUS AGROCOM LIMITED</t>
  </si>
  <si>
    <t>PULZ</t>
  </si>
  <si>
    <t>PULZ ELECTRONICS LIMITED</t>
  </si>
  <si>
    <t>PURPLEUTED</t>
  </si>
  <si>
    <t>PURPLE UNITED SALES LTD</t>
  </si>
  <si>
    <t>PURVFLEXI</t>
  </si>
  <si>
    <t>PURV FLEXIPACK LIMITED</t>
  </si>
  <si>
    <t>PUSHPA</t>
  </si>
  <si>
    <t>PUSHPA JEWELLERS LIMITED</t>
  </si>
  <si>
    <t>QMSMEDI</t>
  </si>
  <si>
    <t>QMS MEDICAL ALLIED S LTD</t>
  </si>
  <si>
    <t>QUADPRO</t>
  </si>
  <si>
    <t>QUADPRO ITES LIMITED</t>
  </si>
  <si>
    <t>QUESTLAB</t>
  </si>
  <si>
    <t>QUEST LABORATORIES LTD</t>
  </si>
  <si>
    <t>RILINFRA</t>
  </si>
  <si>
    <t>RACHANA INFRA LTD</t>
  </si>
  <si>
    <t>RADIOWALLA</t>
  </si>
  <si>
    <t>RADIOWALLA NETWORK LTD</t>
  </si>
  <si>
    <t>RCDL</t>
  </si>
  <si>
    <t>RAJGOR CASTOR DERIVATI L</t>
  </si>
  <si>
    <t>RAJPUTANA</t>
  </si>
  <si>
    <t>RAJPUTANA BIODIESEL LTD</t>
  </si>
  <si>
    <t>RAJINDLTD</t>
  </si>
  <si>
    <t>RAJPUTANA INDUSTRIES LTD</t>
  </si>
  <si>
    <t>RTL</t>
  </si>
  <si>
    <t>RAMA TELECOM LIMITED</t>
  </si>
  <si>
    <t>RBS</t>
  </si>
  <si>
    <t>RAMDEVBABA SOLVENT LTD</t>
  </si>
  <si>
    <t>RAPPID</t>
  </si>
  <si>
    <t>RAPPID VALVES (INDIA) LTD</t>
  </si>
  <si>
    <t>RBMINFRA</t>
  </si>
  <si>
    <t>RBM INFRACON LIMITED</t>
  </si>
  <si>
    <t>READYMIX</t>
  </si>
  <si>
    <t>READYMIX CONSTRU MACHI L</t>
  </si>
  <si>
    <t>REFRACTORY</t>
  </si>
  <si>
    <t>REFRACTORY SHAPES LIMITED</t>
  </si>
  <si>
    <t>REMUS</t>
  </si>
  <si>
    <t>REMUS PHARMACEUTICALS L</t>
  </si>
  <si>
    <t>RNPL</t>
  </si>
  <si>
    <t>RENOL POLYCHEM LIMITED</t>
  </si>
  <si>
    <t>REXPIPES</t>
  </si>
  <si>
    <t>REX PIPES AND CABLES LTD</t>
  </si>
  <si>
    <t>REXPRO</t>
  </si>
  <si>
    <t>REXPRO ENTERPRISES LTD</t>
  </si>
  <si>
    <t>RICHA</t>
  </si>
  <si>
    <t>RICHA INFO SYSTEMS LTD</t>
  </si>
  <si>
    <t>RITEZONE</t>
  </si>
  <si>
    <t>RITE ZONE CHEMCON IND LTD</t>
  </si>
  <si>
    <t>RNFI</t>
  </si>
  <si>
    <t>RNFI SERVICES LIMITED</t>
  </si>
  <si>
    <t>ROCKINGDCE</t>
  </si>
  <si>
    <t>ROCKINGDEALS CIRCU ECO L</t>
  </si>
  <si>
    <t>ROXHITECH</t>
  </si>
  <si>
    <t>ROX HI TECH LIMITED</t>
  </si>
  <si>
    <t>RULKA</t>
  </si>
  <si>
    <t>RULKA ELECTRICALS LIMITED</t>
  </si>
  <si>
    <t>SATECH</t>
  </si>
  <si>
    <t>S A TECH SOFTWARE INDIA L</t>
  </si>
  <si>
    <t>SDREAMS</t>
  </si>
  <si>
    <t>S D RETAIL LIMITED</t>
  </si>
  <si>
    <t>SJLOGISTIC</t>
  </si>
  <si>
    <t>S J LOGISTICS (INDIA) LTD</t>
  </si>
  <si>
    <t>SAAKSHI</t>
  </si>
  <si>
    <t>SAAKSHI MEDTEC N PANELS L</t>
  </si>
  <si>
    <t>SABAR</t>
  </si>
  <si>
    <t>SABAR FLEX INDIA LIMITED</t>
  </si>
  <si>
    <t>SACHEEROME</t>
  </si>
  <si>
    <t>SACHEEROME LIMITED</t>
  </si>
  <si>
    <t>SAFEENTP</t>
  </si>
  <si>
    <t>SAFE ENTER RETAIL FIX LTD</t>
  </si>
  <si>
    <t>SAHAJSOLAR</t>
  </si>
  <si>
    <t>SAHAJ SOLAR LIMITED</t>
  </si>
  <si>
    <t>SAHANA</t>
  </si>
  <si>
    <t>SAHANA SYSTEM LIMITED</t>
  </si>
  <si>
    <t>SAHASRA</t>
  </si>
  <si>
    <t>SAHASRA ELECTRONIC SOLU L</t>
  </si>
  <si>
    <t>SAMAY</t>
  </si>
  <si>
    <t>SAMAY PROJECT SERVICES L</t>
  </si>
  <si>
    <t>SAIFL</t>
  </si>
  <si>
    <t>SAMEERA AGRO AND INFRA L</t>
  </si>
  <si>
    <t>SANGANI</t>
  </si>
  <si>
    <t>SANGANI HOSPITALS LIMITED</t>
  </si>
  <si>
    <t>SARTELE</t>
  </si>
  <si>
    <t>SAR TELEVENTURE LIMITED</t>
  </si>
  <si>
    <t>SATKARTAR</t>
  </si>
  <si>
    <t>SAT KARTAR SHOPPING LTD</t>
  </si>
  <si>
    <t>SSEGL</t>
  </si>
  <si>
    <t>SATHLOKHAR SYN E&amp;C GLOB L</t>
  </si>
  <si>
    <t>SATIPOLY</t>
  </si>
  <si>
    <t>SATI POLY PLAST LIMITED</t>
  </si>
  <si>
    <t>SATTVAENGG</t>
  </si>
  <si>
    <t>SATTVA ENGINEERING CSTN L</t>
  </si>
  <si>
    <t>SAVY</t>
  </si>
  <si>
    <t>SAVY INFRA AND LOGI LTD</t>
  </si>
  <si>
    <t>SAWALIYA</t>
  </si>
  <si>
    <t>SAWALIYA FOOD PRODUCTS L</t>
  </si>
  <si>
    <t>SELLOWRAP</t>
  </si>
  <si>
    <t>SELLOWRAP INDUSTRIES LTD</t>
  </si>
  <si>
    <t>SERVICE</t>
  </si>
  <si>
    <t>SERVICE CARE LIMITED</t>
  </si>
  <si>
    <t>SHANTHALA</t>
  </si>
  <si>
    <t>SHANTHALA FMCG PRODUCTS L</t>
  </si>
  <si>
    <t>SCML</t>
  </si>
  <si>
    <t>SHARP CHUCKS N MACHINES L</t>
  </si>
  <si>
    <t>SHEEL</t>
  </si>
  <si>
    <t>SHEEL BIOTECH LIMITED</t>
  </si>
  <si>
    <t>SHEETAL</t>
  </si>
  <si>
    <t>SHEETAL UNIVERSAL LIMITED</t>
  </si>
  <si>
    <t>SHERA</t>
  </si>
  <si>
    <t>SHERA ENERGY LIMITED</t>
  </si>
  <si>
    <t>SHIGAN</t>
  </si>
  <si>
    <t>SHIGAN QUANTUM TECH LTD</t>
  </si>
  <si>
    <t>SPCL</t>
  </si>
  <si>
    <t>SHIVALIC POWER CONTROL L</t>
  </si>
  <si>
    <t>SHIVASHRIT</t>
  </si>
  <si>
    <t>SHIVASHRIT FOODS LIMITED</t>
  </si>
  <si>
    <t>SHREEKARNI</t>
  </si>
  <si>
    <t>SHREE KARNI FABCOM LTD</t>
  </si>
  <si>
    <t>SHREEOSFM</t>
  </si>
  <si>
    <t>SHREE OSFM E-MOBILITY LTD</t>
  </si>
  <si>
    <t>TIRUPATI</t>
  </si>
  <si>
    <t>SHREE TIRUPATI BALAJEE</t>
  </si>
  <si>
    <t>SHETHJI</t>
  </si>
  <si>
    <t>SHREEJI GLOBAL FMCG LTD</t>
  </si>
  <si>
    <t>SHRIAHIMSA</t>
  </si>
  <si>
    <t>SHRI AHIMSA NATURALS LTD</t>
  </si>
  <si>
    <t>SHKSIL</t>
  </si>
  <si>
    <t>SHRI HARE-KRI SPO IRON L</t>
  </si>
  <si>
    <t>SHRIKANHA</t>
  </si>
  <si>
    <t>SHRI KANHA STAINLESS LTD</t>
  </si>
  <si>
    <t>SHRITECH</t>
  </si>
  <si>
    <t>SHRI TECHTEX LIMITED</t>
  </si>
  <si>
    <t>SHYAMDHANI</t>
  </si>
  <si>
    <t>SHYAM DHANI INDUSTRIES L</t>
  </si>
  <si>
    <t>SIDDHICOTS</t>
  </si>
  <si>
    <t>SIDDHI COTSPIN LIMITED</t>
  </si>
  <si>
    <t>SIDDHIKA</t>
  </si>
  <si>
    <t>SIDDHIKA COATINGS LIMITED</t>
  </si>
  <si>
    <t>SIGNORIA</t>
  </si>
  <si>
    <t>SIGNORIA CREATION LIMITED</t>
  </si>
  <si>
    <t>SILKFLEX</t>
  </si>
  <si>
    <t>SILKFLEX POLYMERS INDIA L</t>
  </si>
  <si>
    <t>SILKY</t>
  </si>
  <si>
    <t>SILKY OVERSEAS LIMITED</t>
  </si>
  <si>
    <t>SKP</t>
  </si>
  <si>
    <t>SKP BEARING INDUSTRI. LTD</t>
  </si>
  <si>
    <t>SLONE</t>
  </si>
  <si>
    <t>SLONE INFOSYSTEMS LIMITED</t>
  </si>
  <si>
    <t>SMARTEN</t>
  </si>
  <si>
    <t>SMARTEN POWER SYSTEMS LTD</t>
  </si>
  <si>
    <t>SMVD</t>
  </si>
  <si>
    <t>SMVD POLY PACK LIMITED</t>
  </si>
  <si>
    <t>SNEHAA</t>
  </si>
  <si>
    <t>SNEHAA ORGANICS LIMITED</t>
  </si>
  <si>
    <t>BALCO</t>
  </si>
  <si>
    <t>SOLVE PLASTIC PRODUCTS L</t>
  </si>
  <si>
    <t>SONAMAC</t>
  </si>
  <si>
    <t>SONA MACHINERY LIMITED</t>
  </si>
  <si>
    <t>SONUINFRA</t>
  </si>
  <si>
    <t>SONU INFRATECH LIMITED</t>
  </si>
  <si>
    <t>SOTAC</t>
  </si>
  <si>
    <t>SOTAC PHARMACEUTICALS LTD</t>
  </si>
  <si>
    <t>SPRL</t>
  </si>
  <si>
    <t>SP REFRACTORIES LIMITED</t>
  </si>
  <si>
    <t>SPEB</t>
  </si>
  <si>
    <t>SPEB ADHESIVES LIMITED</t>
  </si>
  <si>
    <t>SPECTSTM</t>
  </si>
  <si>
    <t>SPECTRUM TALENT MGMT LTD</t>
  </si>
  <si>
    <t>SPPPOLY</t>
  </si>
  <si>
    <t>SPP POLYMER LIMITED</t>
  </si>
  <si>
    <t>SPUNWEB</t>
  </si>
  <si>
    <t>SPUNWEB NONWOVEN LIMITED</t>
  </si>
  <si>
    <t>SSFL</t>
  </si>
  <si>
    <t>SRIVARI SPICES N FOODS L</t>
  </si>
  <si>
    <t>SRIVASAVI</t>
  </si>
  <si>
    <t>SRIVASAVI ADHESIVE TAPE L</t>
  </si>
  <si>
    <t>STUDIOLSD</t>
  </si>
  <si>
    <t>STUDIO LSD LIMITED</t>
  </si>
  <si>
    <t>SUBAHOTELS</t>
  </si>
  <si>
    <t>SUBA HOTELS LIMITED</t>
  </si>
  <si>
    <t>SOCL</t>
  </si>
  <si>
    <t>SUNDREX OIL COMPANY LTD</t>
  </si>
  <si>
    <t>SEL</t>
  </si>
  <si>
    <t>SUNGARNER ENERGIES LTD</t>
  </si>
  <si>
    <t>SUNLITE</t>
  </si>
  <si>
    <t>SUNLITE RECYCLING IND LTD</t>
  </si>
  <si>
    <t>SUNREST</t>
  </si>
  <si>
    <t>SUNREST LIFESCIENCE LTD</t>
  </si>
  <si>
    <t>SUNTECH</t>
  </si>
  <si>
    <t>SUNTECH INFRA SOLUTIONS L</t>
  </si>
  <si>
    <t>SFML</t>
  </si>
  <si>
    <t>SUPREME FACILITY MGMT LTD</t>
  </si>
  <si>
    <t>SUPREMEPWR</t>
  </si>
  <si>
    <t>SUPREME POWER EQUIPMENT L</t>
  </si>
  <si>
    <t>SURANI</t>
  </si>
  <si>
    <t>SURANI STEEL TUBES LTD.</t>
  </si>
  <si>
    <t>SWARAJ</t>
  </si>
  <si>
    <t>SWARAJ SUITING LIMITED</t>
  </si>
  <si>
    <t>SWASTIK</t>
  </si>
  <si>
    <t>SWASTIK PIPE LIMITED</t>
  </si>
  <si>
    <t>SYLVANPLY</t>
  </si>
  <si>
    <t>SYLVAN PLYBOARD (INDIA) L</t>
  </si>
  <si>
    <t>SYSTANGO</t>
  </si>
  <si>
    <t>SYSTANGO TECHNOLOGIES LTD</t>
  </si>
  <si>
    <t>TAC</t>
  </si>
  <si>
    <t>TAC INFOSEC LIMITED</t>
  </si>
  <si>
    <t>TANKUP</t>
  </si>
  <si>
    <t>TANKUP ENGINEERS LIMITED</t>
  </si>
  <si>
    <t>TAPIFRUIT</t>
  </si>
  <si>
    <t>TAPI FRUIT PROCESSING LTD</t>
  </si>
  <si>
    <t>TAURIAN</t>
  </si>
  <si>
    <t>TAURIAN MPS LIMITED</t>
  </si>
  <si>
    <t>TBI</t>
  </si>
  <si>
    <t>TBI CORN LIMITED</t>
  </si>
  <si>
    <t>TECHD</t>
  </si>
  <si>
    <t>TECHD CYBERSECURITY LTD</t>
  </si>
  <si>
    <t>TECHERA</t>
  </si>
  <si>
    <t>TECHERA ENGINEER (IND) L</t>
  </si>
  <si>
    <t>TGL</t>
  </si>
  <si>
    <t>TEERTH GOPICON LIMITED</t>
  </si>
  <si>
    <t>TEJASCARGO</t>
  </si>
  <si>
    <t>TEJAS CARGO INDIA LIMITED</t>
  </si>
  <si>
    <t>TCL</t>
  </si>
  <si>
    <t>THAAI CASTING LIMITED</t>
  </si>
  <si>
    <t>THESL</t>
  </si>
  <si>
    <t>THINKING HATS ENTER SOL L</t>
  </si>
  <si>
    <t>TIMESCAN</t>
  </si>
  <si>
    <t>TIMESCAN LOGISTICS IND L</t>
  </si>
  <si>
    <t>TRANSTEEL</t>
  </si>
  <si>
    <t>TRANSTEEL SEATING TECH L</t>
  </si>
  <si>
    <t>TECHLABS</t>
  </si>
  <si>
    <t>TRIDENT TECHLABS LIMITED</t>
  </si>
  <si>
    <t>TRIDHYA</t>
  </si>
  <si>
    <t>TRIDHYA TECH LIMITED</t>
  </si>
  <si>
    <t>TROM</t>
  </si>
  <si>
    <t>TROM INDUSTRIES LIMITED</t>
  </si>
  <si>
    <t>TRUST</t>
  </si>
  <si>
    <t>TRUST FINTECH LIMITED</t>
  </si>
  <si>
    <t>TSC</t>
  </si>
  <si>
    <t>TSC INDIA LIMITED</t>
  </si>
  <si>
    <t>TUNWAL</t>
  </si>
  <si>
    <t>TUNWAL E-MOTORS LIMITED</t>
  </si>
  <si>
    <t>UMA</t>
  </si>
  <si>
    <t>UMA CONVERTER LIMITED</t>
  </si>
  <si>
    <t>UNIHEALTH</t>
  </si>
  <si>
    <t>UNIHEALTH HOSPITALS LTD</t>
  </si>
  <si>
    <t>UHTL</t>
  </si>
  <si>
    <t>UNITED HEAT TRANSFER LTD</t>
  </si>
  <si>
    <t>USASEEDS</t>
  </si>
  <si>
    <t>UPSURGE SEEDS OF AGRI LTD</t>
  </si>
  <si>
    <t>URBAN</t>
  </si>
  <si>
    <t>URBAN ENVIRO WASTE MGMT L</t>
  </si>
  <si>
    <t>USHAFIN</t>
  </si>
  <si>
    <t>USHA FINANCIAL SERVICES L</t>
  </si>
  <si>
    <t>UCL</t>
  </si>
  <si>
    <t>USHANTI COLOUR CHEM LTD</t>
  </si>
  <si>
    <t>UTSSAV</t>
  </si>
  <si>
    <t>UTSSAV CZ GOLD JEWELS LTD</t>
  </si>
  <si>
    <t>VMARCIND</t>
  </si>
  <si>
    <t>V MARC INDIA LIMITED</t>
  </si>
  <si>
    <t>VR</t>
  </si>
  <si>
    <t>V R INFRASPACE LIMITED</t>
  </si>
  <si>
    <t>VLINFRA</t>
  </si>
  <si>
    <t>V.L.INFRAPROJECTS LIMITED</t>
  </si>
  <si>
    <t>MADHAVBAUG</t>
  </si>
  <si>
    <t>VAIDYA SANE AYUR LAB LTD</t>
  </si>
  <si>
    <t>DENTALKART</t>
  </si>
  <si>
    <t>VASA DENTICITY LIMITED</t>
  </si>
  <si>
    <t>VEEKAYEM</t>
  </si>
  <si>
    <t>VEEKAYEM FASH &amp; APP LTD</t>
  </si>
  <si>
    <t>VERITAAS</t>
  </si>
  <si>
    <t>VERITAAS ADVERTISING LTD</t>
  </si>
  <si>
    <t>VIAZ</t>
  </si>
  <si>
    <t>VIAZ TYRES LIMITED</t>
  </si>
  <si>
    <t>VICTORYEV</t>
  </si>
  <si>
    <t>VICTORY ELEC VEHICL INT L</t>
  </si>
  <si>
    <t>VIGOR</t>
  </si>
  <si>
    <t>VIGOR PLAST INDIA LIMITED</t>
  </si>
  <si>
    <t>VIJAYPD</t>
  </si>
  <si>
    <t>VIJAYPD CEUTICAL LIMITED</t>
  </si>
  <si>
    <t>VILAS</t>
  </si>
  <si>
    <t>VILAS TRANSCORE LIMITED</t>
  </si>
  <si>
    <t>VILINBIO</t>
  </si>
  <si>
    <t>VILIN BIO MED LIMITED</t>
  </si>
  <si>
    <t>VINSYS</t>
  </si>
  <si>
    <t>VINSYS IT SERVICES IND LT</t>
  </si>
  <si>
    <t>VINYAS</t>
  </si>
  <si>
    <t>VINYAS INNOVATIVE TECH L</t>
  </si>
  <si>
    <t>VGINFOTECH</t>
  </si>
  <si>
    <t>VIRTUAL GALAXY INFOTECH L</t>
  </si>
  <si>
    <t>VISAMAN</t>
  </si>
  <si>
    <t>VISAMAN GLOBAL SALES LTD</t>
  </si>
  <si>
    <t>VISHNUINFR</t>
  </si>
  <si>
    <t>VISHNUSURYA PROJ N INFR L</t>
  </si>
  <si>
    <t>VISHWAS</t>
  </si>
  <si>
    <t>VISHWAS AGRI SEEDS LTD</t>
  </si>
  <si>
    <t>VIESL</t>
  </si>
  <si>
    <t>VISION INFRA EQUIP SOL L</t>
  </si>
  <si>
    <t>VITAL</t>
  </si>
  <si>
    <t>VITAL CHEMTECH LIMITED</t>
  </si>
  <si>
    <t>VIVIANA</t>
  </si>
  <si>
    <t>VIVIANA POWER TECH LTD</t>
  </si>
  <si>
    <t>VOLERCAR</t>
  </si>
  <si>
    <t>VOLER CAR LIMITED</t>
  </si>
  <si>
    <t>WALPAR</t>
  </si>
  <si>
    <t>WALPAR NUTRITIONS LIMITED</t>
  </si>
  <si>
    <t>WINSOL</t>
  </si>
  <si>
    <t>WINSOL ENGINEERS LIMITED</t>
  </si>
  <si>
    <t>WTICAB</t>
  </si>
  <si>
    <t>WISE TRAVEL INDIA LIMITED</t>
  </si>
  <si>
    <t>WOL3D</t>
  </si>
  <si>
    <t>WOL 3D INDIA LIMITED</t>
  </si>
  <si>
    <t>WOMANCART</t>
  </si>
  <si>
    <t>WOMANCART LIMITED</t>
  </si>
  <si>
    <t>YASHOPTICS</t>
  </si>
  <si>
    <t>YASH OPTICS &amp; LENS LTD</t>
  </si>
  <si>
    <t>ZTECH</t>
  </si>
  <si>
    <t>Z-TECH (INDIA) LIMITED</t>
  </si>
  <si>
    <t>ZEAL</t>
  </si>
  <si>
    <t>ZEAL GLOBAL SERVICES LTD</t>
  </si>
  <si>
    <t>ZENITHDRUG</t>
  </si>
  <si>
    <t>ZENITH DRUGS LIMITED</t>
  </si>
  <si>
    <t>Name : Labhade Siddharth Popat</t>
  </si>
  <si>
    <t>Email: siddharth.labhade_24uit@sanjivanicoe.org.in</t>
  </si>
  <si>
    <t>ALUWIND</t>
  </si>
  <si>
    <t>ALUWIND INFRA-TECH LTD</t>
  </si>
  <si>
    <t>ARISTO</t>
  </si>
  <si>
    <t>ARISTO BIO T AND LIFESC L</t>
  </si>
  <si>
    <t>BLUEWATER</t>
  </si>
  <si>
    <t>BLUE WATER LOGISTICS LTD</t>
  </si>
  <si>
    <t>CONTI</t>
  </si>
  <si>
    <t>CONTINENTAL SEED CHEM LTD</t>
  </si>
  <si>
    <t>CLSL</t>
  </si>
  <si>
    <t>CROP LIFE SCIENCE LIMITED</t>
  </si>
  <si>
    <t>CURRENT</t>
  </si>
  <si>
    <t>CURRENT INFRAPROJECTS LTD</t>
  </si>
  <si>
    <t>DECCANTRAN</t>
  </si>
  <si>
    <t>DECCAN TRANSCON LEASING L</t>
  </si>
  <si>
    <t>DTL</t>
  </si>
  <si>
    <t>DIENSTEN TECH LIMITED</t>
  </si>
  <si>
    <t>GOLDKART</t>
  </si>
  <si>
    <t>GOLDKART JEWELS LIMITED</t>
  </si>
  <si>
    <t>HOLMARC</t>
  </si>
  <si>
    <t>HOLMARC OPTO MECHATRO L</t>
  </si>
  <si>
    <t>IBLFL</t>
  </si>
  <si>
    <t>IBL FINANCE LIMITED</t>
  </si>
  <si>
    <t>JIWANRAM</t>
  </si>
  <si>
    <t>JIWANRAM SHEODUTTRA IND L</t>
  </si>
  <si>
    <t>LRRPL</t>
  </si>
  <si>
    <t>LEAD REC AND RUB PROD LTD</t>
  </si>
  <si>
    <t>MEDISTEP</t>
  </si>
  <si>
    <t>MEDISTEP HEALTHCARE LTD</t>
  </si>
  <si>
    <t>QFIL</t>
  </si>
  <si>
    <t>QUALITY FOILS (INDIA) LTD</t>
  </si>
  <si>
    <t>QVCEL</t>
  </si>
  <si>
    <t>QVC EXPORTS LIMITED</t>
  </si>
  <si>
    <t>RAPIDFLEET</t>
  </si>
  <si>
    <t>RAPID FLEET MGT SERVICE L</t>
  </si>
  <si>
    <t>SADHAV</t>
  </si>
  <si>
    <t>SADHAV SHIPPING LIMITED</t>
  </si>
  <si>
    <t>SAJHOTELS</t>
  </si>
  <si>
    <t>SAJ HOTELS LIMITED</t>
  </si>
  <si>
    <t>SHUBHSHREE</t>
  </si>
  <si>
    <t>SHUBHSHREE BIOFUELS ENE L</t>
  </si>
  <si>
    <t>SYNOPTICS</t>
  </si>
  <si>
    <t>SYNOPTICS TECHNOLOGIES L</t>
  </si>
  <si>
    <t>UWCSL</t>
  </si>
  <si>
    <t>ULTRA WIRING CONN SYS LTD</t>
  </si>
  <si>
    <t>UNILEX</t>
  </si>
  <si>
    <t>UNILEX COLOURS AND CHEM L</t>
  </si>
  <si>
    <t>VSCL</t>
  </si>
  <si>
    <t>VADIVARHE SPCLTY CHEM LTD</t>
  </si>
  <si>
    <t>VDEAL</t>
  </si>
  <si>
    <t>VDEAL SYSTEM LIMITED</t>
  </si>
  <si>
    <t>YCCL</t>
  </si>
  <si>
    <t>YASONS CHEMEX CARE LTD</t>
  </si>
  <si>
    <t>YUDIZ</t>
  </si>
  <si>
    <t>YUDIZ SOLUTIONS LIMITED</t>
  </si>
  <si>
    <t>29-Jan-26 SME Stock TradeQty &gt; 48000 and StockTradeqty for 30-Jan Also 48000</t>
  </si>
  <si>
    <t>Symbol</t>
  </si>
  <si>
    <t>Name</t>
  </si>
  <si>
    <t>TradeQty</t>
  </si>
  <si>
    <t>AvgPrice</t>
  </si>
  <si>
    <t>Differnce</t>
  </si>
  <si>
    <t>INDICATE THE STEPS how we got data ingested ,cleansed from the downloaded Data</t>
  </si>
  <si>
    <t>Step 1: Downloaded the dataset from Kaggle for 20 Jan (previous) and 30 Jan (next) trading days.</t>
  </si>
  <si>
    <t>Step 2: Sorted the data by Trade Quantity (Largest to Smallest) – This helps identify high-volume trading stocks.</t>
  </si>
  <si>
    <t>Step 3: Calculated the Average Price using the following five prices: Previous Close,Open ,High , Low , Close.</t>
  </si>
  <si>
    <t>Step 4: Removed unnecessary columns from the dataset to keep only relevant data.</t>
  </si>
  <si>
    <t>Step 5: Filtered the data to keep stocks with Trade Quantity greater than 48,000.</t>
  </si>
  <si>
    <t>Step 6: Sorted the data by Symbol (A–Z)– This helps check which stocks are available on both days.Copied both 29th and 30th datasets into a comparison sheet.</t>
  </si>
  <si>
    <t>Step 7:Kept only similar/common stocks that appeared in both datasets.</t>
  </si>
  <si>
    <t>Step 8: Calculated the difference between the average prices of both days for each stock.</t>
  </si>
  <si>
    <t>Step 9 : Sorted the Difference column and analyzed the results to identify: A]Top 10 Gainers ,B]Top 10 Losers.</t>
  </si>
  <si>
    <t>TOP 10 LOSERS</t>
  </si>
  <si>
    <t>TOP 10 GAINERS</t>
  </si>
  <si>
    <t>LOSS AVERAGE</t>
  </si>
  <si>
    <t>GAIN AVERAGE</t>
  </si>
  <si>
    <t xml:space="preserve">Visual For Loosers </t>
  </si>
  <si>
    <t>Visual For Gainers</t>
  </si>
  <si>
    <t>Branch: IT</t>
  </si>
  <si>
    <t>StoryLine : The chart represents stocks with the highest cumulative losses.It ranks symbols based on negative price differences.</t>
  </si>
  <si>
    <t>Analysis : X-axis shows total loss (Sum of Difference).Y-axis represents stock symbols.COOLCAPS has the highest loss, followed by E2E RAIL and ENVIRO.Smaller bars indicate relatively stable stocks.</t>
  </si>
  <si>
    <t>Conclusion : The visualization highlights worst-performing stocks.Useful for risk analysis and portfolio review.Enables quick and clear comparison of losses.</t>
  </si>
  <si>
    <t>StoryLine : This chart displays the top gaining stocks based on total positive price difference.</t>
  </si>
  <si>
    <t>Analysis : The X-axis shows the Sum of Difference, where all values are positive, indicating gains. The Y-axis lists the stock symbols.KRMAYURVED is the highest gainer, showing the largest positive price movement.SWARAJ and ANNAPURNA are the next top performers, indicating strong upward trends.  Stocks like CSSL, ORIANA, ASHWINI, and RCDL show moderate gains. VICTORYEV has the smallest bar, meaning it gained the least among the top gainers. The descending order of bars provides a clear ranking of best-performing stocks, making comparison easy.</t>
  </si>
  <si>
    <t>Conclusion : The “Top Gainers” chart clearly highlights stocks that have shown strong positive performance. It helps investors and analysts identify high-growth opportunities and supports better investment decision-making.</t>
  </si>
</sst>
</file>

<file path=xl/styles.xml><?xml version="1.0" encoding="utf-8"?>
<styleSheet xmlns="http://schemas.openxmlformats.org/spreadsheetml/2006/main" xmlns:mc="http://schemas.openxmlformats.org/markup-compatibility/2006" xmlns:x14ac="http://schemas.microsoft.com/office/spreadsheetml/2009/9/ac" mc:Ignorable="x14ac">
  <fonts count="27"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1"/>
      <name val="Calibri"/>
      <family val="2"/>
      <scheme val="minor"/>
    </font>
    <font>
      <b/>
      <sz val="11"/>
      <color rgb="FF00B050"/>
      <name val="Calibri"/>
      <family val="2"/>
      <scheme val="minor"/>
    </font>
    <font>
      <sz val="11"/>
      <color rgb="FF00B050"/>
      <name val="Calibri"/>
      <family val="2"/>
      <scheme val="minor"/>
    </font>
    <font>
      <sz val="11"/>
      <name val="Calibri"/>
      <family val="2"/>
      <scheme val="minor"/>
    </font>
    <font>
      <b/>
      <sz val="16"/>
      <color rgb="FF000000"/>
      <name val="Calibri"/>
      <family val="2"/>
      <scheme val="minor"/>
    </font>
    <font>
      <b/>
      <sz val="11"/>
      <name val="Calibri"/>
      <family val="2"/>
      <scheme val="minor"/>
    </font>
    <font>
      <b/>
      <sz val="16"/>
      <color theme="1"/>
      <name val="Arial"/>
      <family val="2"/>
    </font>
    <font>
      <b/>
      <sz val="12"/>
      <color theme="1"/>
      <name val="Times New Roman"/>
      <family val="1"/>
    </font>
    <font>
      <b/>
      <sz val="20"/>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249977111117893"/>
        <bgColor indexed="64"/>
      </patternFill>
    </fill>
    <fill>
      <patternFill patternType="solid">
        <fgColor theme="0"/>
        <bgColor indexed="64"/>
      </patternFill>
    </fill>
    <fill>
      <patternFill patternType="solid">
        <fgColor rgb="FFFFC000"/>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style="medium">
        <color indexed="64"/>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2">
    <xf numFmtId="0" fontId="0" fillId="0" borderId="0" xfId="0"/>
    <xf numFmtId="0" fontId="18" fillId="0" borderId="0" xfId="0" applyFont="1"/>
    <xf numFmtId="0" fontId="16" fillId="33" borderId="10" xfId="0" applyFont="1" applyFill="1" applyBorder="1"/>
    <xf numFmtId="0" fontId="16" fillId="33" borderId="11" xfId="0" applyFont="1" applyFill="1" applyBorder="1"/>
    <xf numFmtId="0" fontId="16" fillId="33" borderId="12" xfId="0" applyFont="1" applyFill="1" applyBorder="1"/>
    <xf numFmtId="0" fontId="19" fillId="34" borderId="11" xfId="0" applyFont="1" applyFill="1" applyBorder="1"/>
    <xf numFmtId="0" fontId="16" fillId="35" borderId="10" xfId="0" applyFont="1" applyFill="1" applyBorder="1"/>
    <xf numFmtId="0" fontId="16" fillId="35" borderId="11" xfId="0" applyFont="1" applyFill="1" applyBorder="1"/>
    <xf numFmtId="0" fontId="16" fillId="35" borderId="12" xfId="0" applyFont="1" applyFill="1" applyBorder="1"/>
    <xf numFmtId="0" fontId="16" fillId="0" borderId="13" xfId="0" applyFont="1" applyBorder="1"/>
    <xf numFmtId="0" fontId="0" fillId="33" borderId="14" xfId="0" applyFill="1" applyBorder="1"/>
    <xf numFmtId="0" fontId="0" fillId="33" borderId="0" xfId="0" applyFill="1"/>
    <xf numFmtId="0" fontId="0" fillId="33" borderId="15" xfId="0" applyFill="1" applyBorder="1"/>
    <xf numFmtId="0" fontId="20" fillId="34" borderId="0" xfId="0" applyFont="1" applyFill="1"/>
    <xf numFmtId="0" fontId="0" fillId="35" borderId="14" xfId="0" applyFill="1" applyBorder="1"/>
    <xf numFmtId="0" fontId="0" fillId="35" borderId="0" xfId="0" applyFill="1"/>
    <xf numFmtId="0" fontId="0" fillId="35" borderId="15" xfId="0" applyFill="1" applyBorder="1"/>
    <xf numFmtId="0" fontId="21" fillId="34" borderId="16" xfId="0" applyFont="1" applyFill="1" applyBorder="1"/>
    <xf numFmtId="0" fontId="0" fillId="33" borderId="17" xfId="0" applyFill="1" applyBorder="1"/>
    <xf numFmtId="0" fontId="0" fillId="33" borderId="18" xfId="0" applyFill="1" applyBorder="1"/>
    <xf numFmtId="0" fontId="0" fillId="33" borderId="19" xfId="0" applyFill="1" applyBorder="1"/>
    <xf numFmtId="0" fontId="20" fillId="34" borderId="18" xfId="0" applyFont="1" applyFill="1" applyBorder="1"/>
    <xf numFmtId="0" fontId="0" fillId="35" borderId="17" xfId="0" applyFill="1" applyBorder="1"/>
    <xf numFmtId="0" fontId="0" fillId="35" borderId="18" xfId="0" applyFill="1" applyBorder="1"/>
    <xf numFmtId="0" fontId="0" fillId="35" borderId="19" xfId="0" applyFill="1" applyBorder="1"/>
    <xf numFmtId="0" fontId="21" fillId="34" borderId="20" xfId="0" applyFont="1" applyFill="1" applyBorder="1"/>
    <xf numFmtId="0" fontId="16" fillId="0" borderId="0" xfId="0" applyFont="1"/>
    <xf numFmtId="0" fontId="22" fillId="0" borderId="0" xfId="0" applyFont="1"/>
    <xf numFmtId="0" fontId="23" fillId="34" borderId="0" xfId="0" applyFont="1" applyFill="1" applyBorder="1"/>
    <xf numFmtId="0" fontId="24" fillId="0" borderId="0" xfId="0" applyFont="1"/>
    <xf numFmtId="0" fontId="25" fillId="0" borderId="0" xfId="0" applyFont="1"/>
    <xf numFmtId="0" fontId="2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stacked"/>
        <c:varyColors val="0"/>
        <c:ser>
          <c:idx val="0"/>
          <c:order val="0"/>
          <c:tx>
            <c:strRef>
              <c:f>'202631JanComparisonData'!$J$2</c:f>
              <c:strCache>
                <c:ptCount val="1"/>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'202631JanComparisonData'!$A$3:$A$13</c:f>
              <c:strCache>
                <c:ptCount val="11"/>
                <c:pt idx="0">
                  <c:v>Symbol</c:v>
                </c:pt>
                <c:pt idx="1">
                  <c:v>COOLCAPS</c:v>
                </c:pt>
                <c:pt idx="2">
                  <c:v>E2ERAIL</c:v>
                </c:pt>
                <c:pt idx="3">
                  <c:v>ENVIRO</c:v>
                </c:pt>
                <c:pt idx="4">
                  <c:v>OBSCP</c:v>
                </c:pt>
                <c:pt idx="5">
                  <c:v>AVANA</c:v>
                </c:pt>
                <c:pt idx="6">
                  <c:v>KCK</c:v>
                </c:pt>
                <c:pt idx="7">
                  <c:v>UHTL</c:v>
                </c:pt>
                <c:pt idx="8">
                  <c:v>MAGSON</c:v>
                </c:pt>
                <c:pt idx="9">
                  <c:v>TUNWAL</c:v>
                </c:pt>
                <c:pt idx="10">
                  <c:v>MGSL</c:v>
                </c:pt>
              </c:strCache>
            </c:strRef>
          </c:cat>
          <c:val>
            <c:numRef>
              <c:f>'202631JanComparisonData'!$J$3:$J$13</c:f>
              <c:numCache>
                <c:formatCode>General</c:formatCode>
                <c:ptCount val="11"/>
                <c:pt idx="0">
                  <c:v>0</c:v>
                </c:pt>
                <c:pt idx="1">
                  <c:v>-10.049999999999997</c:v>
                </c:pt>
                <c:pt idx="2">
                  <c:v>-9.5599999999999739</c:v>
                </c:pt>
                <c:pt idx="3">
                  <c:v>-6.2999999999999972</c:v>
                </c:pt>
                <c:pt idx="4">
                  <c:v>-5.6200000000000045</c:v>
                </c:pt>
                <c:pt idx="5">
                  <c:v>-2.8499999999999943</c:v>
                </c:pt>
                <c:pt idx="6">
                  <c:v>-2.0799999999999983</c:v>
                </c:pt>
                <c:pt idx="7">
                  <c:v>-1.6500000000000057</c:v>
                </c:pt>
                <c:pt idx="8">
                  <c:v>-0.98000000000001819</c:v>
                </c:pt>
                <c:pt idx="9">
                  <c:v>-0.89999999999999858</c:v>
                </c:pt>
                <c:pt idx="10">
                  <c:v>-0.82999999999999829</c:v>
                </c:pt>
              </c:numCache>
            </c:numRef>
          </c:val>
        </c:ser>
        <c:dLbls>
          <c:dLblPos val="ctr"/>
          <c:showLegendKey val="0"/>
          <c:showVal val="1"/>
          <c:showCatName val="0"/>
          <c:showSerName val="0"/>
          <c:showPercent val="0"/>
          <c:showBubbleSize val="0"/>
        </c:dLbls>
        <c:gapWidth val="150"/>
        <c:overlap val="100"/>
        <c:axId val="1172622432"/>
        <c:axId val="1172624064"/>
      </c:barChart>
      <c:catAx>
        <c:axId val="117262243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2624064"/>
        <c:crosses val="autoZero"/>
        <c:auto val="1"/>
        <c:lblAlgn val="ctr"/>
        <c:lblOffset val="100"/>
        <c:noMultiLvlLbl val="0"/>
      </c:catAx>
      <c:valAx>
        <c:axId val="117262406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262243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10 Gainer </a:t>
            </a:r>
          </a:p>
        </c:rich>
      </c:tx>
      <c:layout>
        <c:manualLayout>
          <c:xMode val="edge"/>
          <c:yMode val="edge"/>
          <c:x val="0.39154155730533685"/>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'202631JanComparisonData'!$F$21:$F$31</c:f>
              <c:strCache>
                <c:ptCount val="10"/>
                <c:pt idx="0">
                  <c:v>VICTORYEV</c:v>
                </c:pt>
                <c:pt idx="1">
                  <c:v>VILINBIO</c:v>
                </c:pt>
                <c:pt idx="2">
                  <c:v>TRANSTEEL</c:v>
                </c:pt>
                <c:pt idx="3">
                  <c:v>RCDL</c:v>
                </c:pt>
                <c:pt idx="4">
                  <c:v>ASHWINI</c:v>
                </c:pt>
                <c:pt idx="5">
                  <c:v>ORIANA</c:v>
                </c:pt>
                <c:pt idx="6">
                  <c:v>CSSL</c:v>
                </c:pt>
                <c:pt idx="7">
                  <c:v>ANNAPURNA</c:v>
                </c:pt>
                <c:pt idx="8">
                  <c:v>SWARAJ</c:v>
                </c:pt>
                <c:pt idx="9">
                  <c:v>KRMAYURVED</c:v>
                </c:pt>
              </c:strCache>
            </c:strRef>
          </c:cat>
          <c:val>
            <c:numRef>
              <c:f>'202631JanComparisonData'!$J$21:$J$31</c:f>
              <c:numCache>
                <c:formatCode>General</c:formatCode>
                <c:ptCount val="11"/>
                <c:pt idx="0">
                  <c:v>0.75</c:v>
                </c:pt>
                <c:pt idx="1">
                  <c:v>1.8599999999999994</c:v>
                </c:pt>
                <c:pt idx="2">
                  <c:v>1.9800000000000182</c:v>
                </c:pt>
                <c:pt idx="3">
                  <c:v>3.1799999999999962</c:v>
                </c:pt>
                <c:pt idx="4">
                  <c:v>3.25</c:v>
                </c:pt>
                <c:pt idx="5">
                  <c:v>3.3000000000001819</c:v>
                </c:pt>
                <c:pt idx="6">
                  <c:v>4.3300000000000125</c:v>
                </c:pt>
                <c:pt idx="7">
                  <c:v>6.8100000000000023</c:v>
                </c:pt>
                <c:pt idx="8">
                  <c:v>7.2599999999999909</c:v>
                </c:pt>
                <c:pt idx="9">
                  <c:v>10.610000000000014</c:v>
                </c:pt>
              </c:numCache>
            </c:numRef>
          </c:val>
        </c:ser>
        <c:dLbls>
          <c:showLegendKey val="0"/>
          <c:showVal val="0"/>
          <c:showCatName val="0"/>
          <c:showSerName val="0"/>
          <c:showPercent val="0"/>
          <c:showBubbleSize val="0"/>
        </c:dLbls>
        <c:gapWidth val="150"/>
        <c:overlap val="100"/>
        <c:axId val="1172628960"/>
        <c:axId val="1172628416"/>
      </c:barChart>
      <c:catAx>
        <c:axId val="117262896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2628416"/>
        <c:crosses val="autoZero"/>
        <c:auto val="1"/>
        <c:lblAlgn val="ctr"/>
        <c:lblOffset val="100"/>
        <c:noMultiLvlLbl val="0"/>
      </c:catAx>
      <c:valAx>
        <c:axId val="117262841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262896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11</xdr:col>
      <xdr:colOff>28575</xdr:colOff>
      <xdr:row>3</xdr:row>
      <xdr:rowOff>0</xdr:rowOff>
    </xdr:from>
    <xdr:to>
      <xdr:col>18</xdr:col>
      <xdr:colOff>587375</xdr:colOff>
      <xdr:row>17</xdr:row>
      <xdr:rowOff>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9525</xdr:colOff>
      <xdr:row>20</xdr:row>
      <xdr:rowOff>180975</xdr:rowOff>
    </xdr:from>
    <xdr:to>
      <xdr:col>19</xdr:col>
      <xdr:colOff>63501</xdr:colOff>
      <xdr:row>35</xdr:row>
      <xdr:rowOff>19050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28</xdr:row>
      <xdr:rowOff>19129</xdr:rowOff>
    </xdr:from>
    <xdr:to>
      <xdr:col>14</xdr:col>
      <xdr:colOff>295140</xdr:colOff>
      <xdr:row>50</xdr:row>
      <xdr:rowOff>110801</xdr:rowOff>
    </xdr:to>
    <xdr:pic>
      <xdr:nvPicPr>
        <xdr:cNvPr id="2" name="Picture 1"/>
        <xdr:cNvPicPr>
          <a:picLocks noChangeAspect="1"/>
        </xdr:cNvPicPr>
      </xdr:nvPicPr>
      <xdr:blipFill rotWithShape="1">
        <a:blip xmlns:r="http://schemas.openxmlformats.org/officeDocument/2006/relationships" r:embed="rId1"/>
        <a:srcRect l="3332" t="18228" r="28787" b="17600"/>
        <a:stretch/>
      </xdr:blipFill>
      <xdr:spPr>
        <a:xfrm>
          <a:off x="0" y="5451907"/>
          <a:ext cx="8938196" cy="4783617"/>
        </a:xfrm>
        <a:prstGeom prst="rect">
          <a:avLst/>
        </a:prstGeom>
      </xdr:spPr>
    </xdr:pic>
    <xdr:clientData/>
  </xdr:twoCellAnchor>
  <xdr:twoCellAnchor editAs="oneCell">
    <xdr:from>
      <xdr:col>0</xdr:col>
      <xdr:colOff>0</xdr:colOff>
      <xdr:row>0</xdr:row>
      <xdr:rowOff>0</xdr:rowOff>
    </xdr:from>
    <xdr:to>
      <xdr:col>14</xdr:col>
      <xdr:colOff>546805</xdr:colOff>
      <xdr:row>24</xdr:row>
      <xdr:rowOff>0</xdr:rowOff>
    </xdr:to>
    <xdr:pic>
      <xdr:nvPicPr>
        <xdr:cNvPr id="3" name="Picture 2"/>
        <xdr:cNvPicPr>
          <a:picLocks noChangeAspect="1"/>
        </xdr:cNvPicPr>
      </xdr:nvPicPr>
      <xdr:blipFill rotWithShape="1">
        <a:blip xmlns:r="http://schemas.openxmlformats.org/officeDocument/2006/relationships" r:embed="rId2"/>
        <a:srcRect l="7186" t="15675" r="22174" b="14872"/>
        <a:stretch/>
      </xdr:blipFill>
      <xdr:spPr>
        <a:xfrm>
          <a:off x="0" y="0"/>
          <a:ext cx="9189861" cy="5080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
  <sheetViews>
    <sheetView zoomScale="150" zoomScaleNormal="150" workbookViewId="0">
      <selection activeCell="A2" sqref="A2"/>
    </sheetView>
  </sheetViews>
  <sheetFormatPr defaultRowHeight="15" x14ac:dyDescent="0.25"/>
  <cols>
    <col min="1" max="1" width="50.5703125" customWidth="1"/>
  </cols>
  <sheetData>
    <row r="1" spans="1:1" ht="15.75" x14ac:dyDescent="0.25">
      <c r="A1" s="30" t="s">
        <v>941</v>
      </c>
    </row>
    <row r="2" spans="1:1" ht="15.75" x14ac:dyDescent="0.25">
      <c r="A2" s="30" t="s">
        <v>942</v>
      </c>
    </row>
    <row r="3" spans="1:1" ht="15.75" x14ac:dyDescent="0.25">
      <c r="A3" s="30" t="s">
        <v>1019</v>
      </c>
    </row>
    <row r="4" spans="1:1" ht="15.75" x14ac:dyDescent="0.25">
      <c r="A4" s="30"/>
    </row>
    <row r="5" spans="1:1" ht="15.75" x14ac:dyDescent="0.25">
      <c r="A5" s="30"/>
    </row>
    <row r="6" spans="1:1" ht="15.75" x14ac:dyDescent="0.25">
      <c r="A6" s="30"/>
    </row>
    <row r="7" spans="1:1" ht="15.75" x14ac:dyDescent="0.25">
      <c r="A7" s="30"/>
    </row>
    <row r="8" spans="1:1" ht="15.75" x14ac:dyDescent="0.25">
      <c r="A8" s="30"/>
    </row>
    <row r="9" spans="1:1" ht="15.75" x14ac:dyDescent="0.25">
      <c r="A9" s="30"/>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61"/>
  <sheetViews>
    <sheetView workbookViewId="0">
      <selection activeCell="T15" sqref="T15"/>
    </sheetView>
  </sheetViews>
  <sheetFormatPr defaultRowHeight="15" x14ac:dyDescent="0.25"/>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t="s">
        <v>14</v>
      </c>
      <c r="B2" t="s">
        <v>15</v>
      </c>
      <c r="C2" t="s">
        <v>16</v>
      </c>
      <c r="D2" t="s">
        <v>17</v>
      </c>
      <c r="E2">
        <v>67.900000000000006</v>
      </c>
      <c r="F2">
        <v>65</v>
      </c>
      <c r="G2">
        <v>71.25</v>
      </c>
      <c r="H2">
        <v>65</v>
      </c>
      <c r="I2">
        <v>69.7</v>
      </c>
      <c r="J2">
        <v>1085500</v>
      </c>
      <c r="K2">
        <v>16000</v>
      </c>
      <c r="L2" t="s">
        <v>18</v>
      </c>
      <c r="M2">
        <v>71.25</v>
      </c>
      <c r="N2">
        <v>37.299999999999997</v>
      </c>
    </row>
    <row r="3" spans="1:14" x14ac:dyDescent="0.25">
      <c r="A3" t="s">
        <v>14</v>
      </c>
      <c r="B3" t="s">
        <v>15</v>
      </c>
      <c r="C3" t="s">
        <v>19</v>
      </c>
      <c r="D3" t="s">
        <v>20</v>
      </c>
      <c r="E3">
        <v>61</v>
      </c>
      <c r="F3">
        <v>56.1</v>
      </c>
      <c r="G3">
        <v>58.6</v>
      </c>
      <c r="H3">
        <v>56.1</v>
      </c>
      <c r="I3">
        <v>56.95</v>
      </c>
      <c r="J3">
        <v>1004960</v>
      </c>
      <c r="K3">
        <v>17600</v>
      </c>
      <c r="L3" t="s">
        <v>18</v>
      </c>
      <c r="M3">
        <v>105</v>
      </c>
      <c r="N3">
        <v>56</v>
      </c>
    </row>
    <row r="4" spans="1:14" x14ac:dyDescent="0.25">
      <c r="A4" t="s">
        <v>14</v>
      </c>
      <c r="B4" t="s">
        <v>15</v>
      </c>
      <c r="C4" t="s">
        <v>21</v>
      </c>
      <c r="D4" t="s">
        <v>22</v>
      </c>
      <c r="E4">
        <v>121</v>
      </c>
      <c r="F4">
        <v>113</v>
      </c>
      <c r="G4">
        <v>118</v>
      </c>
      <c r="H4">
        <v>113</v>
      </c>
      <c r="I4">
        <v>117</v>
      </c>
      <c r="J4">
        <v>840000</v>
      </c>
      <c r="K4">
        <v>7200</v>
      </c>
      <c r="L4" t="s">
        <v>18</v>
      </c>
      <c r="M4">
        <v>182</v>
      </c>
      <c r="N4">
        <v>97.5</v>
      </c>
    </row>
    <row r="5" spans="1:14" x14ac:dyDescent="0.25">
      <c r="A5" t="s">
        <v>14</v>
      </c>
      <c r="B5" t="s">
        <v>15</v>
      </c>
      <c r="C5" t="s">
        <v>23</v>
      </c>
      <c r="D5" t="s">
        <v>24</v>
      </c>
      <c r="E5">
        <v>21.1</v>
      </c>
      <c r="F5">
        <v>21.45</v>
      </c>
      <c r="G5">
        <v>23.6</v>
      </c>
      <c r="H5">
        <v>21.15</v>
      </c>
      <c r="I5">
        <v>22.75</v>
      </c>
      <c r="J5">
        <v>442600</v>
      </c>
      <c r="K5">
        <v>20000</v>
      </c>
      <c r="L5" t="s">
        <v>18</v>
      </c>
      <c r="M5">
        <v>25.5</v>
      </c>
      <c r="N5">
        <v>14.5</v>
      </c>
    </row>
    <row r="6" spans="1:14" x14ac:dyDescent="0.25">
      <c r="A6" t="s">
        <v>14</v>
      </c>
      <c r="B6" t="s">
        <v>15</v>
      </c>
      <c r="C6" t="s">
        <v>25</v>
      </c>
      <c r="D6" t="s">
        <v>26</v>
      </c>
      <c r="E6">
        <v>34.549999999999997</v>
      </c>
      <c r="F6">
        <v>32.5</v>
      </c>
      <c r="G6">
        <v>33.950000000000003</v>
      </c>
      <c r="H6">
        <v>32.5</v>
      </c>
      <c r="I6">
        <v>33.5</v>
      </c>
      <c r="J6">
        <v>318320</v>
      </c>
      <c r="K6">
        <v>9600</v>
      </c>
      <c r="L6" t="s">
        <v>18</v>
      </c>
      <c r="M6">
        <v>55.25</v>
      </c>
      <c r="N6">
        <v>26.45</v>
      </c>
    </row>
    <row r="7" spans="1:14" x14ac:dyDescent="0.25">
      <c r="A7" t="s">
        <v>14</v>
      </c>
      <c r="B7" t="s">
        <v>15</v>
      </c>
      <c r="C7" t="s">
        <v>27</v>
      </c>
      <c r="D7" t="s">
        <v>28</v>
      </c>
      <c r="E7">
        <v>181.75</v>
      </c>
      <c r="F7">
        <v>181</v>
      </c>
      <c r="G7">
        <v>186</v>
      </c>
      <c r="H7">
        <v>178.1</v>
      </c>
      <c r="I7">
        <v>178.85</v>
      </c>
      <c r="J7">
        <v>2716925</v>
      </c>
      <c r="K7">
        <v>15000</v>
      </c>
      <c r="L7" t="s">
        <v>18</v>
      </c>
      <c r="M7">
        <v>259</v>
      </c>
      <c r="N7">
        <v>92.1</v>
      </c>
    </row>
    <row r="8" spans="1:14" x14ac:dyDescent="0.25">
      <c r="A8" t="s">
        <v>14</v>
      </c>
      <c r="B8" t="s">
        <v>15</v>
      </c>
      <c r="C8" t="s">
        <v>29</v>
      </c>
      <c r="D8" t="s">
        <v>30</v>
      </c>
      <c r="E8">
        <v>321.39999999999998</v>
      </c>
      <c r="F8">
        <v>324.95</v>
      </c>
      <c r="G8">
        <v>328</v>
      </c>
      <c r="H8">
        <v>319</v>
      </c>
      <c r="I8">
        <v>321.7</v>
      </c>
      <c r="J8">
        <v>5349750</v>
      </c>
      <c r="K8">
        <v>16500</v>
      </c>
      <c r="L8" t="s">
        <v>18</v>
      </c>
      <c r="M8">
        <v>378</v>
      </c>
      <c r="N8">
        <v>180</v>
      </c>
    </row>
    <row r="9" spans="1:14" x14ac:dyDescent="0.25">
      <c r="A9" t="s">
        <v>14</v>
      </c>
      <c r="B9" t="s">
        <v>15</v>
      </c>
      <c r="C9" t="s">
        <v>31</v>
      </c>
      <c r="D9" t="s">
        <v>32</v>
      </c>
      <c r="E9">
        <v>27.6</v>
      </c>
      <c r="F9">
        <v>28.9</v>
      </c>
      <c r="G9">
        <v>28.95</v>
      </c>
      <c r="H9">
        <v>28.9</v>
      </c>
      <c r="I9">
        <v>28.95</v>
      </c>
      <c r="J9">
        <v>115700</v>
      </c>
      <c r="K9">
        <v>4000</v>
      </c>
      <c r="L9" t="s">
        <v>18</v>
      </c>
      <c r="M9">
        <v>31.65</v>
      </c>
      <c r="N9">
        <v>17.5</v>
      </c>
    </row>
    <row r="10" spans="1:14" x14ac:dyDescent="0.25">
      <c r="A10" t="s">
        <v>14</v>
      </c>
      <c r="B10" t="s">
        <v>33</v>
      </c>
      <c r="C10" t="s">
        <v>34</v>
      </c>
      <c r="D10" t="s">
        <v>35</v>
      </c>
      <c r="E10">
        <v>67.25</v>
      </c>
      <c r="F10">
        <v>67.3</v>
      </c>
      <c r="G10">
        <v>67.400000000000006</v>
      </c>
      <c r="H10">
        <v>67.3</v>
      </c>
      <c r="I10">
        <v>67.400000000000006</v>
      </c>
      <c r="J10">
        <v>242400</v>
      </c>
      <c r="K10">
        <v>3600</v>
      </c>
      <c r="L10" t="s">
        <v>18</v>
      </c>
      <c r="M10">
        <v>102.5</v>
      </c>
      <c r="N10">
        <v>53.8</v>
      </c>
    </row>
    <row r="11" spans="1:14" x14ac:dyDescent="0.25">
      <c r="A11" t="s">
        <v>14</v>
      </c>
      <c r="B11" t="s">
        <v>15</v>
      </c>
      <c r="C11" t="s">
        <v>36</v>
      </c>
      <c r="D11" t="s">
        <v>37</v>
      </c>
      <c r="E11">
        <v>170</v>
      </c>
      <c r="F11">
        <v>170</v>
      </c>
      <c r="G11">
        <v>170</v>
      </c>
      <c r="H11">
        <v>170</v>
      </c>
      <c r="I11">
        <v>170</v>
      </c>
      <c r="J11">
        <v>204000</v>
      </c>
      <c r="K11">
        <v>1200</v>
      </c>
      <c r="L11" t="s">
        <v>18</v>
      </c>
      <c r="M11">
        <v>190</v>
      </c>
      <c r="N11">
        <v>147.05000000000001</v>
      </c>
    </row>
    <row r="12" spans="1:14" x14ac:dyDescent="0.25">
      <c r="A12" t="s">
        <v>14</v>
      </c>
      <c r="B12" t="s">
        <v>15</v>
      </c>
      <c r="C12" t="s">
        <v>38</v>
      </c>
      <c r="D12" t="s">
        <v>39</v>
      </c>
      <c r="E12">
        <v>104.8</v>
      </c>
      <c r="F12">
        <v>100.5</v>
      </c>
      <c r="G12">
        <v>103.4</v>
      </c>
      <c r="H12">
        <v>100.5</v>
      </c>
      <c r="I12">
        <v>102.15</v>
      </c>
      <c r="J12">
        <v>457675</v>
      </c>
      <c r="K12">
        <v>4500</v>
      </c>
      <c r="L12" t="s">
        <v>18</v>
      </c>
      <c r="M12">
        <v>321</v>
      </c>
      <c r="N12">
        <v>99.5</v>
      </c>
    </row>
    <row r="13" spans="1:14" x14ac:dyDescent="0.25">
      <c r="A13" t="s">
        <v>14</v>
      </c>
      <c r="B13" t="s">
        <v>15</v>
      </c>
      <c r="C13" t="s">
        <v>40</v>
      </c>
      <c r="D13" t="s">
        <v>41</v>
      </c>
      <c r="E13">
        <v>22.7</v>
      </c>
      <c r="F13">
        <v>23.8</v>
      </c>
      <c r="G13">
        <v>23.8</v>
      </c>
      <c r="H13">
        <v>23.8</v>
      </c>
      <c r="I13">
        <v>23.8</v>
      </c>
      <c r="J13">
        <v>47600</v>
      </c>
      <c r="K13">
        <v>2000</v>
      </c>
      <c r="L13" t="s">
        <v>18</v>
      </c>
      <c r="M13">
        <v>48.3</v>
      </c>
      <c r="N13">
        <v>21.35</v>
      </c>
    </row>
    <row r="14" spans="1:14" x14ac:dyDescent="0.25">
      <c r="A14" t="s">
        <v>14</v>
      </c>
      <c r="B14" t="s">
        <v>15</v>
      </c>
      <c r="C14" t="s">
        <v>42</v>
      </c>
      <c r="D14" t="s">
        <v>43</v>
      </c>
      <c r="E14">
        <v>96.55</v>
      </c>
      <c r="F14">
        <v>92</v>
      </c>
      <c r="G14">
        <v>95.55</v>
      </c>
      <c r="H14">
        <v>92</v>
      </c>
      <c r="I14">
        <v>95</v>
      </c>
      <c r="J14">
        <v>850600</v>
      </c>
      <c r="K14">
        <v>9000</v>
      </c>
      <c r="L14" t="s">
        <v>18</v>
      </c>
      <c r="M14">
        <v>167.6</v>
      </c>
      <c r="N14">
        <v>89.05</v>
      </c>
    </row>
    <row r="15" spans="1:14" x14ac:dyDescent="0.25">
      <c r="A15" t="s">
        <v>14</v>
      </c>
      <c r="B15" t="s">
        <v>15</v>
      </c>
      <c r="C15" t="s">
        <v>44</v>
      </c>
      <c r="D15" t="s">
        <v>45</v>
      </c>
      <c r="E15">
        <v>86</v>
      </c>
      <c r="F15">
        <v>86</v>
      </c>
      <c r="G15">
        <v>87.5</v>
      </c>
      <c r="H15">
        <v>81.349999999999994</v>
      </c>
      <c r="I15">
        <v>82.2</v>
      </c>
      <c r="J15">
        <v>2538750</v>
      </c>
      <c r="K15">
        <v>30000</v>
      </c>
      <c r="L15" t="s">
        <v>18</v>
      </c>
      <c r="M15">
        <v>155.6</v>
      </c>
      <c r="N15">
        <v>60</v>
      </c>
    </row>
    <row r="16" spans="1:14" x14ac:dyDescent="0.25">
      <c r="A16" t="s">
        <v>14</v>
      </c>
      <c r="B16" t="s">
        <v>15</v>
      </c>
      <c r="C16" t="s">
        <v>46</v>
      </c>
      <c r="D16" t="s">
        <v>47</v>
      </c>
      <c r="E16">
        <v>98.85</v>
      </c>
      <c r="F16">
        <v>99.1</v>
      </c>
      <c r="G16">
        <v>101</v>
      </c>
      <c r="H16">
        <v>98.85</v>
      </c>
      <c r="I16">
        <v>99.15</v>
      </c>
      <c r="J16">
        <v>3835440</v>
      </c>
      <c r="K16">
        <v>38400</v>
      </c>
      <c r="L16" t="s">
        <v>18</v>
      </c>
      <c r="M16">
        <v>174.05</v>
      </c>
      <c r="N16">
        <v>81</v>
      </c>
    </row>
    <row r="17" spans="1:14" x14ac:dyDescent="0.25">
      <c r="A17" t="s">
        <v>14</v>
      </c>
      <c r="B17" t="s">
        <v>15</v>
      </c>
      <c r="C17" t="s">
        <v>48</v>
      </c>
      <c r="D17" t="s">
        <v>49</v>
      </c>
      <c r="E17">
        <v>20.100000000000001</v>
      </c>
      <c r="F17">
        <v>20</v>
      </c>
      <c r="G17">
        <v>20</v>
      </c>
      <c r="H17">
        <v>20</v>
      </c>
      <c r="I17">
        <v>20</v>
      </c>
      <c r="J17">
        <v>50000</v>
      </c>
      <c r="K17">
        <v>2500</v>
      </c>
      <c r="L17" t="s">
        <v>18</v>
      </c>
      <c r="M17">
        <v>43.35</v>
      </c>
      <c r="N17">
        <v>17.899999999999999</v>
      </c>
    </row>
    <row r="18" spans="1:14" x14ac:dyDescent="0.25">
      <c r="A18" t="s">
        <v>14</v>
      </c>
      <c r="B18" t="s">
        <v>33</v>
      </c>
      <c r="C18" t="s">
        <v>50</v>
      </c>
      <c r="D18" t="s">
        <v>51</v>
      </c>
      <c r="E18">
        <v>737.65</v>
      </c>
      <c r="F18">
        <v>726.7</v>
      </c>
      <c r="G18">
        <v>730</v>
      </c>
      <c r="H18">
        <v>719</v>
      </c>
      <c r="I18">
        <v>720.45</v>
      </c>
      <c r="J18">
        <v>11006360</v>
      </c>
      <c r="K18">
        <v>15200</v>
      </c>
      <c r="L18" t="s">
        <v>18</v>
      </c>
      <c r="M18">
        <v>1040</v>
      </c>
      <c r="N18">
        <v>358</v>
      </c>
    </row>
    <row r="19" spans="1:14" x14ac:dyDescent="0.25">
      <c r="A19" t="s">
        <v>14</v>
      </c>
      <c r="B19" t="s">
        <v>15</v>
      </c>
      <c r="C19" t="s">
        <v>52</v>
      </c>
      <c r="D19" t="s">
        <v>53</v>
      </c>
      <c r="E19">
        <v>77.849999999999994</v>
      </c>
      <c r="F19">
        <v>74.349999999999994</v>
      </c>
      <c r="G19">
        <v>78.75</v>
      </c>
      <c r="H19">
        <v>74.099999999999994</v>
      </c>
      <c r="I19">
        <v>78</v>
      </c>
      <c r="J19">
        <v>693800</v>
      </c>
      <c r="K19">
        <v>9000</v>
      </c>
      <c r="L19" t="s">
        <v>18</v>
      </c>
      <c r="M19">
        <v>133.75</v>
      </c>
      <c r="N19">
        <v>63</v>
      </c>
    </row>
    <row r="20" spans="1:14" x14ac:dyDescent="0.25">
      <c r="A20" t="s">
        <v>14</v>
      </c>
      <c r="B20" t="s">
        <v>33</v>
      </c>
      <c r="C20" t="s">
        <v>54</v>
      </c>
      <c r="D20" t="s">
        <v>55</v>
      </c>
      <c r="E20">
        <v>204.85</v>
      </c>
      <c r="F20">
        <v>203</v>
      </c>
      <c r="G20">
        <v>205</v>
      </c>
      <c r="H20">
        <v>200</v>
      </c>
      <c r="I20">
        <v>204</v>
      </c>
      <c r="J20">
        <v>4544000</v>
      </c>
      <c r="K20">
        <v>22400</v>
      </c>
      <c r="L20" t="s">
        <v>18</v>
      </c>
      <c r="M20">
        <v>299.3</v>
      </c>
      <c r="N20">
        <v>62</v>
      </c>
    </row>
    <row r="21" spans="1:14" x14ac:dyDescent="0.25">
      <c r="A21" t="s">
        <v>14</v>
      </c>
      <c r="B21" t="s">
        <v>15</v>
      </c>
      <c r="C21" t="s">
        <v>56</v>
      </c>
      <c r="D21" t="s">
        <v>57</v>
      </c>
      <c r="E21">
        <v>81</v>
      </c>
      <c r="F21">
        <v>73.25</v>
      </c>
      <c r="G21">
        <v>75</v>
      </c>
      <c r="H21">
        <v>73.25</v>
      </c>
      <c r="I21">
        <v>75</v>
      </c>
      <c r="J21">
        <v>138437.5</v>
      </c>
      <c r="K21">
        <v>1875</v>
      </c>
      <c r="L21" t="s">
        <v>18</v>
      </c>
      <c r="M21">
        <v>208.5</v>
      </c>
      <c r="N21">
        <v>73.25</v>
      </c>
    </row>
    <row r="22" spans="1:14" x14ac:dyDescent="0.25">
      <c r="A22" t="s">
        <v>14</v>
      </c>
      <c r="B22" t="s">
        <v>15</v>
      </c>
      <c r="C22" t="s">
        <v>58</v>
      </c>
      <c r="D22" t="s">
        <v>59</v>
      </c>
      <c r="E22">
        <v>194</v>
      </c>
      <c r="F22">
        <v>194</v>
      </c>
      <c r="G22">
        <v>197.65</v>
      </c>
      <c r="H22">
        <v>188</v>
      </c>
      <c r="I22">
        <v>190.3</v>
      </c>
      <c r="J22">
        <v>5583140</v>
      </c>
      <c r="K22">
        <v>29200</v>
      </c>
      <c r="L22" t="s">
        <v>18</v>
      </c>
      <c r="M22">
        <v>504.75</v>
      </c>
      <c r="N22">
        <v>188</v>
      </c>
    </row>
    <row r="23" spans="1:14" x14ac:dyDescent="0.25">
      <c r="A23" t="s">
        <v>14</v>
      </c>
      <c r="B23" t="s">
        <v>15</v>
      </c>
      <c r="C23" t="s">
        <v>60</v>
      </c>
      <c r="D23" t="s">
        <v>61</v>
      </c>
      <c r="E23">
        <v>786.9</v>
      </c>
      <c r="F23">
        <v>801</v>
      </c>
      <c r="G23">
        <v>801</v>
      </c>
      <c r="H23">
        <v>743</v>
      </c>
      <c r="I23">
        <v>765.7</v>
      </c>
      <c r="J23">
        <v>31858635</v>
      </c>
      <c r="K23">
        <v>41500</v>
      </c>
      <c r="L23" t="s">
        <v>18</v>
      </c>
      <c r="M23">
        <v>1449.7</v>
      </c>
      <c r="N23">
        <v>495</v>
      </c>
    </row>
    <row r="24" spans="1:14" x14ac:dyDescent="0.25">
      <c r="A24" t="s">
        <v>14</v>
      </c>
      <c r="B24" t="s">
        <v>15</v>
      </c>
      <c r="C24" t="s">
        <v>62</v>
      </c>
      <c r="D24" t="s">
        <v>63</v>
      </c>
      <c r="E24">
        <v>32.799999999999997</v>
      </c>
      <c r="F24">
        <v>31.05</v>
      </c>
      <c r="G24">
        <v>32</v>
      </c>
      <c r="H24">
        <v>31.05</v>
      </c>
      <c r="I24">
        <v>32</v>
      </c>
      <c r="J24">
        <v>126100</v>
      </c>
      <c r="K24">
        <v>4000</v>
      </c>
      <c r="L24" t="s">
        <v>18</v>
      </c>
      <c r="M24">
        <v>60</v>
      </c>
      <c r="N24">
        <v>28.85</v>
      </c>
    </row>
    <row r="25" spans="1:14" x14ac:dyDescent="0.25">
      <c r="A25" t="s">
        <v>14</v>
      </c>
      <c r="B25" t="s">
        <v>15</v>
      </c>
      <c r="C25" t="s">
        <v>64</v>
      </c>
      <c r="D25" t="s">
        <v>65</v>
      </c>
      <c r="E25">
        <v>95.6</v>
      </c>
      <c r="F25">
        <v>95.6</v>
      </c>
      <c r="G25">
        <v>95.6</v>
      </c>
      <c r="H25">
        <v>95.6</v>
      </c>
      <c r="I25">
        <v>95.6</v>
      </c>
      <c r="J25">
        <v>191200</v>
      </c>
      <c r="K25">
        <v>2000</v>
      </c>
      <c r="L25" t="s">
        <v>18</v>
      </c>
      <c r="M25">
        <v>127.25</v>
      </c>
      <c r="N25">
        <v>86.4</v>
      </c>
    </row>
    <row r="26" spans="1:14" x14ac:dyDescent="0.25">
      <c r="A26" t="s">
        <v>14</v>
      </c>
      <c r="B26" t="s">
        <v>33</v>
      </c>
      <c r="C26" t="s">
        <v>66</v>
      </c>
      <c r="D26" t="s">
        <v>67</v>
      </c>
      <c r="E26">
        <v>306</v>
      </c>
      <c r="F26">
        <v>301.85000000000002</v>
      </c>
      <c r="G26">
        <v>310</v>
      </c>
      <c r="H26">
        <v>301.85000000000002</v>
      </c>
      <c r="I26">
        <v>309.55</v>
      </c>
      <c r="J26">
        <v>3195160</v>
      </c>
      <c r="K26">
        <v>10400</v>
      </c>
      <c r="L26" t="s">
        <v>18</v>
      </c>
      <c r="M26">
        <v>385</v>
      </c>
      <c r="N26">
        <v>161.69999999999999</v>
      </c>
    </row>
    <row r="27" spans="1:14" x14ac:dyDescent="0.25">
      <c r="A27" t="s">
        <v>14</v>
      </c>
      <c r="B27" t="s">
        <v>15</v>
      </c>
      <c r="C27" t="s">
        <v>68</v>
      </c>
      <c r="D27" t="s">
        <v>69</v>
      </c>
      <c r="E27">
        <v>83.1</v>
      </c>
      <c r="F27">
        <v>79</v>
      </c>
      <c r="G27">
        <v>79</v>
      </c>
      <c r="H27">
        <v>79</v>
      </c>
      <c r="I27">
        <v>79</v>
      </c>
      <c r="J27">
        <v>94800</v>
      </c>
      <c r="K27">
        <v>1200</v>
      </c>
      <c r="L27" t="s">
        <v>18</v>
      </c>
      <c r="M27">
        <v>164.85</v>
      </c>
      <c r="N27">
        <v>77</v>
      </c>
    </row>
    <row r="28" spans="1:14" x14ac:dyDescent="0.25">
      <c r="A28" t="s">
        <v>14</v>
      </c>
      <c r="B28" t="s">
        <v>15</v>
      </c>
      <c r="C28" t="s">
        <v>70</v>
      </c>
      <c r="D28" t="s">
        <v>71</v>
      </c>
      <c r="E28">
        <v>380.85</v>
      </c>
      <c r="F28">
        <v>368.25</v>
      </c>
      <c r="G28">
        <v>380</v>
      </c>
      <c r="H28">
        <v>365.25</v>
      </c>
      <c r="I28">
        <v>374</v>
      </c>
      <c r="J28">
        <v>2684300</v>
      </c>
      <c r="K28">
        <v>7200</v>
      </c>
      <c r="L28" t="s">
        <v>18</v>
      </c>
      <c r="M28">
        <v>497</v>
      </c>
      <c r="N28">
        <v>239</v>
      </c>
    </row>
    <row r="29" spans="1:14" x14ac:dyDescent="0.25">
      <c r="A29" t="s">
        <v>14</v>
      </c>
      <c r="B29" t="s">
        <v>15</v>
      </c>
      <c r="C29" t="s">
        <v>72</v>
      </c>
      <c r="D29" t="s">
        <v>73</v>
      </c>
      <c r="E29">
        <v>185.05</v>
      </c>
      <c r="F29">
        <v>185.05</v>
      </c>
      <c r="G29">
        <v>203</v>
      </c>
      <c r="H29">
        <v>180</v>
      </c>
      <c r="I29">
        <v>198.5</v>
      </c>
      <c r="J29">
        <v>117539362.5</v>
      </c>
      <c r="K29">
        <v>593750</v>
      </c>
      <c r="L29" t="s">
        <v>18</v>
      </c>
      <c r="M29">
        <v>371</v>
      </c>
      <c r="N29">
        <v>180</v>
      </c>
    </row>
    <row r="30" spans="1:14" x14ac:dyDescent="0.25">
      <c r="A30" t="s">
        <v>14</v>
      </c>
      <c r="B30" t="s">
        <v>15</v>
      </c>
      <c r="C30" t="s">
        <v>74</v>
      </c>
      <c r="D30" t="s">
        <v>75</v>
      </c>
      <c r="E30">
        <v>21.9</v>
      </c>
      <c r="F30">
        <v>21.15</v>
      </c>
      <c r="G30">
        <v>21.15</v>
      </c>
      <c r="H30">
        <v>21</v>
      </c>
      <c r="I30">
        <v>21</v>
      </c>
      <c r="J30">
        <v>2745250</v>
      </c>
      <c r="K30">
        <v>130000</v>
      </c>
      <c r="L30" t="s">
        <v>18</v>
      </c>
      <c r="M30">
        <v>29.05</v>
      </c>
      <c r="N30">
        <v>19.45</v>
      </c>
    </row>
    <row r="31" spans="1:14" x14ac:dyDescent="0.25">
      <c r="A31" t="s">
        <v>14</v>
      </c>
      <c r="B31" t="s">
        <v>15</v>
      </c>
      <c r="C31" t="s">
        <v>76</v>
      </c>
      <c r="D31" t="s">
        <v>77</v>
      </c>
      <c r="E31">
        <v>121.45</v>
      </c>
      <c r="F31">
        <v>120</v>
      </c>
      <c r="G31">
        <v>120</v>
      </c>
      <c r="H31">
        <v>120</v>
      </c>
      <c r="I31">
        <v>120</v>
      </c>
      <c r="J31">
        <v>192000</v>
      </c>
      <c r="K31">
        <v>1600</v>
      </c>
      <c r="L31" t="s">
        <v>18</v>
      </c>
      <c r="M31">
        <v>165.6</v>
      </c>
      <c r="N31">
        <v>73</v>
      </c>
    </row>
    <row r="32" spans="1:14" x14ac:dyDescent="0.25">
      <c r="A32" t="s">
        <v>14</v>
      </c>
      <c r="B32" t="s">
        <v>15</v>
      </c>
      <c r="C32" t="s">
        <v>78</v>
      </c>
      <c r="D32" t="s">
        <v>79</v>
      </c>
      <c r="E32">
        <v>274.8</v>
      </c>
      <c r="F32">
        <v>260.05</v>
      </c>
      <c r="G32">
        <v>261</v>
      </c>
      <c r="H32">
        <v>259.05</v>
      </c>
      <c r="I32">
        <v>260.75</v>
      </c>
      <c r="J32">
        <v>1040800</v>
      </c>
      <c r="K32">
        <v>4000</v>
      </c>
      <c r="L32" t="s">
        <v>18</v>
      </c>
      <c r="M32">
        <v>360</v>
      </c>
      <c r="N32">
        <v>86.5</v>
      </c>
    </row>
    <row r="33" spans="1:14" x14ac:dyDescent="0.25">
      <c r="A33" t="s">
        <v>14</v>
      </c>
      <c r="B33" t="s">
        <v>15</v>
      </c>
      <c r="C33" t="s">
        <v>80</v>
      </c>
      <c r="D33" t="s">
        <v>81</v>
      </c>
      <c r="E33">
        <v>57.2</v>
      </c>
      <c r="F33">
        <v>56.35</v>
      </c>
      <c r="G33">
        <v>56.35</v>
      </c>
      <c r="H33">
        <v>56</v>
      </c>
      <c r="I33">
        <v>56</v>
      </c>
      <c r="J33">
        <v>336650</v>
      </c>
      <c r="K33">
        <v>6000</v>
      </c>
      <c r="L33" t="s">
        <v>18</v>
      </c>
      <c r="M33">
        <v>145</v>
      </c>
      <c r="N33">
        <v>56</v>
      </c>
    </row>
    <row r="34" spans="1:14" x14ac:dyDescent="0.25">
      <c r="A34" t="s">
        <v>14</v>
      </c>
      <c r="B34" t="s">
        <v>33</v>
      </c>
      <c r="C34" t="s">
        <v>82</v>
      </c>
      <c r="D34" t="s">
        <v>83</v>
      </c>
      <c r="E34">
        <v>137</v>
      </c>
      <c r="F34">
        <v>132.1</v>
      </c>
      <c r="G34">
        <v>141.9</v>
      </c>
      <c r="H34">
        <v>131.05000000000001</v>
      </c>
      <c r="I34">
        <v>141</v>
      </c>
      <c r="J34">
        <v>2744350</v>
      </c>
      <c r="K34">
        <v>20000</v>
      </c>
      <c r="L34" t="s">
        <v>18</v>
      </c>
      <c r="M34">
        <v>161</v>
      </c>
      <c r="N34">
        <v>70.8</v>
      </c>
    </row>
    <row r="35" spans="1:14" x14ac:dyDescent="0.25">
      <c r="A35" t="s">
        <v>14</v>
      </c>
      <c r="B35" t="s">
        <v>15</v>
      </c>
      <c r="C35" t="s">
        <v>84</v>
      </c>
      <c r="D35" t="s">
        <v>85</v>
      </c>
      <c r="E35">
        <v>450</v>
      </c>
      <c r="F35">
        <v>440</v>
      </c>
      <c r="G35">
        <v>440</v>
      </c>
      <c r="H35">
        <v>415</v>
      </c>
      <c r="I35">
        <v>435</v>
      </c>
      <c r="J35">
        <v>516000</v>
      </c>
      <c r="K35">
        <v>1200</v>
      </c>
      <c r="L35" t="s">
        <v>18</v>
      </c>
      <c r="M35">
        <v>540</v>
      </c>
      <c r="N35">
        <v>200</v>
      </c>
    </row>
    <row r="36" spans="1:14" x14ac:dyDescent="0.25">
      <c r="A36" t="s">
        <v>14</v>
      </c>
      <c r="B36" t="s">
        <v>33</v>
      </c>
      <c r="C36" t="s">
        <v>86</v>
      </c>
      <c r="D36" t="s">
        <v>87</v>
      </c>
      <c r="E36">
        <v>37.200000000000003</v>
      </c>
      <c r="F36">
        <v>35.35</v>
      </c>
      <c r="G36">
        <v>35.35</v>
      </c>
      <c r="H36">
        <v>35.35</v>
      </c>
      <c r="I36">
        <v>35.35</v>
      </c>
      <c r="J36">
        <v>141400</v>
      </c>
      <c r="K36">
        <v>4000</v>
      </c>
      <c r="L36" t="s">
        <v>18</v>
      </c>
      <c r="M36">
        <v>45.6</v>
      </c>
      <c r="N36">
        <v>35.35</v>
      </c>
    </row>
    <row r="37" spans="1:14" x14ac:dyDescent="0.25">
      <c r="A37" t="s">
        <v>14</v>
      </c>
      <c r="B37" t="s">
        <v>15</v>
      </c>
      <c r="C37" t="s">
        <v>88</v>
      </c>
      <c r="D37" t="s">
        <v>89</v>
      </c>
      <c r="E37">
        <v>17.75</v>
      </c>
      <c r="F37">
        <v>17.5</v>
      </c>
      <c r="G37">
        <v>17.5</v>
      </c>
      <c r="H37">
        <v>16.95</v>
      </c>
      <c r="I37">
        <v>17.350000000000001</v>
      </c>
      <c r="J37">
        <v>344500</v>
      </c>
      <c r="K37">
        <v>20000</v>
      </c>
      <c r="L37" t="s">
        <v>18</v>
      </c>
      <c r="M37">
        <v>46.5</v>
      </c>
      <c r="N37">
        <v>16.95</v>
      </c>
    </row>
    <row r="38" spans="1:14" x14ac:dyDescent="0.25">
      <c r="A38" t="s">
        <v>14</v>
      </c>
      <c r="B38" t="s">
        <v>15</v>
      </c>
      <c r="C38" t="s">
        <v>90</v>
      </c>
      <c r="D38" t="s">
        <v>91</v>
      </c>
      <c r="E38">
        <v>30.45</v>
      </c>
      <c r="F38">
        <v>29.1</v>
      </c>
      <c r="G38">
        <v>29.85</v>
      </c>
      <c r="H38">
        <v>28.95</v>
      </c>
      <c r="I38">
        <v>29.05</v>
      </c>
      <c r="J38">
        <v>1785450</v>
      </c>
      <c r="K38">
        <v>61500</v>
      </c>
      <c r="L38" t="s">
        <v>18</v>
      </c>
      <c r="M38">
        <v>87.4</v>
      </c>
      <c r="N38">
        <v>28.95</v>
      </c>
    </row>
    <row r="39" spans="1:14" x14ac:dyDescent="0.25">
      <c r="A39" t="s">
        <v>14</v>
      </c>
      <c r="B39" t="s">
        <v>33</v>
      </c>
      <c r="C39" t="s">
        <v>92</v>
      </c>
      <c r="D39" t="s">
        <v>93</v>
      </c>
      <c r="E39">
        <v>151.5</v>
      </c>
      <c r="F39">
        <v>150</v>
      </c>
      <c r="G39">
        <v>150</v>
      </c>
      <c r="H39">
        <v>150</v>
      </c>
      <c r="I39">
        <v>150</v>
      </c>
      <c r="J39">
        <v>75000</v>
      </c>
      <c r="K39">
        <v>500</v>
      </c>
      <c r="L39" t="s">
        <v>18</v>
      </c>
      <c r="M39">
        <v>154</v>
      </c>
      <c r="N39">
        <v>76.55</v>
      </c>
    </row>
    <row r="40" spans="1:14" x14ac:dyDescent="0.25">
      <c r="A40" t="s">
        <v>14</v>
      </c>
      <c r="B40" t="s">
        <v>15</v>
      </c>
      <c r="C40" t="s">
        <v>94</v>
      </c>
      <c r="D40" t="s">
        <v>95</v>
      </c>
      <c r="E40">
        <v>68</v>
      </c>
      <c r="F40">
        <v>67.95</v>
      </c>
      <c r="G40">
        <v>68</v>
      </c>
      <c r="H40">
        <v>63.2</v>
      </c>
      <c r="I40">
        <v>65.25</v>
      </c>
      <c r="J40">
        <v>1570400</v>
      </c>
      <c r="K40">
        <v>24000</v>
      </c>
      <c r="L40" t="s">
        <v>18</v>
      </c>
      <c r="M40">
        <v>93.7</v>
      </c>
      <c r="N40">
        <v>60</v>
      </c>
    </row>
    <row r="41" spans="1:14" x14ac:dyDescent="0.25">
      <c r="A41" t="s">
        <v>14</v>
      </c>
      <c r="B41" t="s">
        <v>15</v>
      </c>
      <c r="C41" t="s">
        <v>96</v>
      </c>
      <c r="D41" t="s">
        <v>97</v>
      </c>
      <c r="E41">
        <v>140.9</v>
      </c>
      <c r="F41">
        <v>138</v>
      </c>
      <c r="G41">
        <v>140.5</v>
      </c>
      <c r="H41">
        <v>130</v>
      </c>
      <c r="I41">
        <v>132.15</v>
      </c>
      <c r="J41">
        <v>14135650</v>
      </c>
      <c r="K41">
        <v>106000</v>
      </c>
      <c r="L41" t="s">
        <v>18</v>
      </c>
      <c r="M41">
        <v>167.8</v>
      </c>
      <c r="N41">
        <v>127.9</v>
      </c>
    </row>
    <row r="42" spans="1:14" x14ac:dyDescent="0.25">
      <c r="A42" t="s">
        <v>14</v>
      </c>
      <c r="B42" t="s">
        <v>15</v>
      </c>
      <c r="C42" t="s">
        <v>98</v>
      </c>
      <c r="D42" t="s">
        <v>99</v>
      </c>
      <c r="E42">
        <v>16.899999999999999</v>
      </c>
      <c r="F42">
        <v>16.5</v>
      </c>
      <c r="G42">
        <v>16.5</v>
      </c>
      <c r="H42">
        <v>16.5</v>
      </c>
      <c r="I42">
        <v>16.5</v>
      </c>
      <c r="J42">
        <v>165000</v>
      </c>
      <c r="K42">
        <v>10000</v>
      </c>
      <c r="L42" t="s">
        <v>18</v>
      </c>
      <c r="M42">
        <v>40</v>
      </c>
      <c r="N42">
        <v>15.3</v>
      </c>
    </row>
    <row r="43" spans="1:14" x14ac:dyDescent="0.25">
      <c r="A43" t="s">
        <v>14</v>
      </c>
      <c r="B43" t="s">
        <v>15</v>
      </c>
      <c r="C43" t="s">
        <v>100</v>
      </c>
      <c r="D43" t="s">
        <v>101</v>
      </c>
      <c r="E43">
        <v>31.3</v>
      </c>
      <c r="F43">
        <v>29.1</v>
      </c>
      <c r="G43">
        <v>30.8</v>
      </c>
      <c r="H43">
        <v>29</v>
      </c>
      <c r="I43">
        <v>29.9</v>
      </c>
      <c r="J43">
        <v>2801700</v>
      </c>
      <c r="K43">
        <v>94800</v>
      </c>
      <c r="L43" t="s">
        <v>18</v>
      </c>
      <c r="M43">
        <v>115.35</v>
      </c>
      <c r="N43">
        <v>29</v>
      </c>
    </row>
    <row r="44" spans="1:14" x14ac:dyDescent="0.25">
      <c r="A44" t="s">
        <v>14</v>
      </c>
      <c r="B44" t="s">
        <v>15</v>
      </c>
      <c r="C44" t="s">
        <v>102</v>
      </c>
      <c r="D44" t="s">
        <v>103</v>
      </c>
      <c r="E44">
        <v>146.25</v>
      </c>
      <c r="F44">
        <v>146</v>
      </c>
      <c r="G44">
        <v>146</v>
      </c>
      <c r="H44">
        <v>142.05000000000001</v>
      </c>
      <c r="I44">
        <v>142.6</v>
      </c>
      <c r="J44">
        <v>1952920</v>
      </c>
      <c r="K44">
        <v>13600</v>
      </c>
      <c r="L44" t="s">
        <v>18</v>
      </c>
      <c r="M44">
        <v>294</v>
      </c>
      <c r="N44">
        <v>109</v>
      </c>
    </row>
    <row r="45" spans="1:14" x14ac:dyDescent="0.25">
      <c r="A45" t="s">
        <v>14</v>
      </c>
      <c r="B45" t="s">
        <v>15</v>
      </c>
      <c r="C45" t="s">
        <v>104</v>
      </c>
      <c r="D45" t="s">
        <v>105</v>
      </c>
      <c r="E45">
        <v>35.200000000000003</v>
      </c>
      <c r="F45">
        <v>32.799999999999997</v>
      </c>
      <c r="G45">
        <v>36.799999999999997</v>
      </c>
      <c r="H45">
        <v>32.799999999999997</v>
      </c>
      <c r="I45">
        <v>36.799999999999997</v>
      </c>
      <c r="J45">
        <v>163920</v>
      </c>
      <c r="K45">
        <v>4800</v>
      </c>
      <c r="L45" t="s">
        <v>18</v>
      </c>
      <c r="M45">
        <v>73</v>
      </c>
      <c r="N45">
        <v>32</v>
      </c>
    </row>
    <row r="46" spans="1:14" x14ac:dyDescent="0.25">
      <c r="A46" t="s">
        <v>14</v>
      </c>
      <c r="B46" t="s">
        <v>15</v>
      </c>
      <c r="C46" t="s">
        <v>106</v>
      </c>
      <c r="D46" t="s">
        <v>107</v>
      </c>
      <c r="E46">
        <v>318.3</v>
      </c>
      <c r="F46">
        <v>312.05</v>
      </c>
      <c r="G46">
        <v>315</v>
      </c>
      <c r="H46">
        <v>304.8</v>
      </c>
      <c r="I46">
        <v>309.85000000000002</v>
      </c>
      <c r="J46">
        <v>10297762.5</v>
      </c>
      <c r="K46">
        <v>33250</v>
      </c>
      <c r="L46" t="s">
        <v>18</v>
      </c>
      <c r="M46">
        <v>654</v>
      </c>
      <c r="N46">
        <v>293</v>
      </c>
    </row>
    <row r="47" spans="1:14" x14ac:dyDescent="0.25">
      <c r="A47" t="s">
        <v>14</v>
      </c>
      <c r="B47" t="s">
        <v>33</v>
      </c>
      <c r="C47" t="s">
        <v>108</v>
      </c>
      <c r="D47" t="s">
        <v>109</v>
      </c>
      <c r="E47">
        <v>71.900000000000006</v>
      </c>
      <c r="F47">
        <v>73.95</v>
      </c>
      <c r="G47">
        <v>73.95</v>
      </c>
      <c r="H47">
        <v>68.349999999999994</v>
      </c>
      <c r="I47">
        <v>71.55</v>
      </c>
      <c r="J47">
        <v>12808900</v>
      </c>
      <c r="K47">
        <v>180000</v>
      </c>
      <c r="L47" t="s">
        <v>18</v>
      </c>
      <c r="M47">
        <v>83.6</v>
      </c>
      <c r="N47">
        <v>65.099999999999994</v>
      </c>
    </row>
    <row r="48" spans="1:14" x14ac:dyDescent="0.25">
      <c r="A48" t="s">
        <v>14</v>
      </c>
      <c r="B48" t="s">
        <v>15</v>
      </c>
      <c r="C48" t="s">
        <v>110</v>
      </c>
      <c r="D48" t="s">
        <v>111</v>
      </c>
      <c r="E48">
        <v>113.95</v>
      </c>
      <c r="F48">
        <v>115</v>
      </c>
      <c r="G48">
        <v>115</v>
      </c>
      <c r="H48">
        <v>113</v>
      </c>
      <c r="I48">
        <v>113</v>
      </c>
      <c r="J48">
        <v>228000</v>
      </c>
      <c r="K48">
        <v>2000</v>
      </c>
      <c r="L48" t="s">
        <v>18</v>
      </c>
      <c r="M48">
        <v>123.5</v>
      </c>
      <c r="N48">
        <v>93.8</v>
      </c>
    </row>
    <row r="49" spans="1:14" x14ac:dyDescent="0.25">
      <c r="A49" t="s">
        <v>14</v>
      </c>
      <c r="B49" t="s">
        <v>15</v>
      </c>
      <c r="C49" t="s">
        <v>112</v>
      </c>
      <c r="D49" t="s">
        <v>113</v>
      </c>
      <c r="E49">
        <v>90.4</v>
      </c>
      <c r="F49">
        <v>91.5</v>
      </c>
      <c r="G49">
        <v>93.35</v>
      </c>
      <c r="H49">
        <v>90.2</v>
      </c>
      <c r="I49">
        <v>91.2</v>
      </c>
      <c r="J49">
        <v>5607440</v>
      </c>
      <c r="K49">
        <v>61600</v>
      </c>
      <c r="L49" t="s">
        <v>18</v>
      </c>
      <c r="M49">
        <v>223.45</v>
      </c>
      <c r="N49">
        <v>88.2</v>
      </c>
    </row>
    <row r="50" spans="1:14" x14ac:dyDescent="0.25">
      <c r="A50" t="s">
        <v>14</v>
      </c>
      <c r="B50" t="s">
        <v>15</v>
      </c>
      <c r="C50" t="s">
        <v>114</v>
      </c>
      <c r="D50" t="s">
        <v>115</v>
      </c>
      <c r="E50">
        <v>118.9</v>
      </c>
      <c r="F50">
        <v>116.05</v>
      </c>
      <c r="G50">
        <v>117.85</v>
      </c>
      <c r="H50">
        <v>114.95</v>
      </c>
      <c r="I50">
        <v>114.95</v>
      </c>
      <c r="J50">
        <v>13678400</v>
      </c>
      <c r="K50">
        <v>118400</v>
      </c>
      <c r="L50" t="s">
        <v>18</v>
      </c>
      <c r="M50">
        <v>139</v>
      </c>
      <c r="N50">
        <v>95.75</v>
      </c>
    </row>
    <row r="51" spans="1:14" x14ac:dyDescent="0.25">
      <c r="A51" t="s">
        <v>14</v>
      </c>
      <c r="B51" t="s">
        <v>15</v>
      </c>
      <c r="C51" t="s">
        <v>116</v>
      </c>
      <c r="D51" t="s">
        <v>117</v>
      </c>
      <c r="E51">
        <v>28.55</v>
      </c>
      <c r="F51">
        <v>28.55</v>
      </c>
      <c r="G51">
        <v>28.55</v>
      </c>
      <c r="H51">
        <v>28.55</v>
      </c>
      <c r="I51">
        <v>28.55</v>
      </c>
      <c r="J51">
        <v>45680</v>
      </c>
      <c r="K51">
        <v>1600</v>
      </c>
      <c r="L51" t="s">
        <v>18</v>
      </c>
      <c r="M51">
        <v>56.5</v>
      </c>
      <c r="N51">
        <v>25.6</v>
      </c>
    </row>
    <row r="52" spans="1:14" x14ac:dyDescent="0.25">
      <c r="A52" t="s">
        <v>14</v>
      </c>
      <c r="B52" t="s">
        <v>15</v>
      </c>
      <c r="C52" t="s">
        <v>118</v>
      </c>
      <c r="D52" t="s">
        <v>119</v>
      </c>
      <c r="E52">
        <v>618.29999999999995</v>
      </c>
      <c r="F52">
        <v>621.35</v>
      </c>
      <c r="G52">
        <v>621.5</v>
      </c>
      <c r="H52">
        <v>601.04999999999995</v>
      </c>
      <c r="I52">
        <v>619.4</v>
      </c>
      <c r="J52">
        <v>16579368.75</v>
      </c>
      <c r="K52">
        <v>27000</v>
      </c>
      <c r="L52" t="s">
        <v>18</v>
      </c>
      <c r="M52">
        <v>649.9</v>
      </c>
      <c r="N52">
        <v>328.1</v>
      </c>
    </row>
    <row r="53" spans="1:14" x14ac:dyDescent="0.25">
      <c r="A53" t="s">
        <v>14</v>
      </c>
      <c r="B53" t="s">
        <v>15</v>
      </c>
      <c r="C53" t="s">
        <v>120</v>
      </c>
      <c r="D53" t="s">
        <v>121</v>
      </c>
      <c r="E53">
        <v>142.25</v>
      </c>
      <c r="F53">
        <v>142</v>
      </c>
      <c r="G53">
        <v>142</v>
      </c>
      <c r="H53">
        <v>135</v>
      </c>
      <c r="I53">
        <v>140.80000000000001</v>
      </c>
      <c r="J53">
        <v>1395300</v>
      </c>
      <c r="K53">
        <v>10000</v>
      </c>
      <c r="L53" t="s">
        <v>18</v>
      </c>
      <c r="M53">
        <v>184.7</v>
      </c>
      <c r="N53">
        <v>72.599999999999994</v>
      </c>
    </row>
    <row r="54" spans="1:14" x14ac:dyDescent="0.25">
      <c r="A54" t="s">
        <v>14</v>
      </c>
      <c r="B54" t="s">
        <v>15</v>
      </c>
      <c r="C54" t="s">
        <v>122</v>
      </c>
      <c r="D54" t="s">
        <v>123</v>
      </c>
      <c r="E54">
        <v>64.150000000000006</v>
      </c>
      <c r="F54">
        <v>64.95</v>
      </c>
      <c r="G54">
        <v>64.95</v>
      </c>
      <c r="H54">
        <v>64.45</v>
      </c>
      <c r="I54">
        <v>64.45</v>
      </c>
      <c r="J54">
        <v>516600</v>
      </c>
      <c r="K54">
        <v>8000</v>
      </c>
      <c r="L54" t="s">
        <v>18</v>
      </c>
      <c r="M54">
        <v>82.4</v>
      </c>
      <c r="N54">
        <v>41.15</v>
      </c>
    </row>
    <row r="55" spans="1:14" x14ac:dyDescent="0.25">
      <c r="A55" t="s">
        <v>14</v>
      </c>
      <c r="B55" t="s">
        <v>15</v>
      </c>
      <c r="C55" t="s">
        <v>124</v>
      </c>
      <c r="D55" t="s">
        <v>125</v>
      </c>
      <c r="E55">
        <v>268.35000000000002</v>
      </c>
      <c r="F55">
        <v>267.05</v>
      </c>
      <c r="G55">
        <v>267.05</v>
      </c>
      <c r="H55">
        <v>258.10000000000002</v>
      </c>
      <c r="I55">
        <v>263.64999999999998</v>
      </c>
      <c r="J55">
        <v>4268175</v>
      </c>
      <c r="K55">
        <v>16200</v>
      </c>
      <c r="L55" t="s">
        <v>18</v>
      </c>
      <c r="M55">
        <v>509.8</v>
      </c>
      <c r="N55">
        <v>223.15</v>
      </c>
    </row>
    <row r="56" spans="1:14" x14ac:dyDescent="0.25">
      <c r="A56" t="s">
        <v>14</v>
      </c>
      <c r="B56" t="s">
        <v>15</v>
      </c>
      <c r="C56" t="s">
        <v>126</v>
      </c>
      <c r="D56" t="s">
        <v>127</v>
      </c>
      <c r="E56">
        <v>29.2</v>
      </c>
      <c r="F56">
        <v>28.6</v>
      </c>
      <c r="G56">
        <v>29.85</v>
      </c>
      <c r="H56">
        <v>28.2</v>
      </c>
      <c r="I56">
        <v>29.7</v>
      </c>
      <c r="J56">
        <v>139880</v>
      </c>
      <c r="K56">
        <v>4800</v>
      </c>
      <c r="L56" t="s">
        <v>18</v>
      </c>
      <c r="M56">
        <v>79</v>
      </c>
      <c r="N56">
        <v>27.35</v>
      </c>
    </row>
    <row r="57" spans="1:14" x14ac:dyDescent="0.25">
      <c r="A57" t="s">
        <v>14</v>
      </c>
      <c r="B57" t="s">
        <v>33</v>
      </c>
      <c r="C57" t="s">
        <v>128</v>
      </c>
      <c r="D57" t="s">
        <v>129</v>
      </c>
      <c r="E57">
        <v>84</v>
      </c>
      <c r="F57">
        <v>84</v>
      </c>
      <c r="G57">
        <v>87.65</v>
      </c>
      <c r="H57">
        <v>83</v>
      </c>
      <c r="I57">
        <v>86.95</v>
      </c>
      <c r="J57">
        <v>2134950</v>
      </c>
      <c r="K57">
        <v>25000</v>
      </c>
      <c r="L57" t="s">
        <v>18</v>
      </c>
      <c r="M57">
        <v>102.5</v>
      </c>
      <c r="N57">
        <v>50</v>
      </c>
    </row>
    <row r="58" spans="1:14" x14ac:dyDescent="0.25">
      <c r="A58" t="s">
        <v>14</v>
      </c>
      <c r="B58" t="s">
        <v>15</v>
      </c>
      <c r="C58" t="s">
        <v>130</v>
      </c>
      <c r="D58" t="s">
        <v>131</v>
      </c>
      <c r="E58">
        <v>93.25</v>
      </c>
      <c r="F58">
        <v>98.8</v>
      </c>
      <c r="G58">
        <v>98.8</v>
      </c>
      <c r="H58">
        <v>95.4</v>
      </c>
      <c r="I58">
        <v>95.4</v>
      </c>
      <c r="J58">
        <v>384650</v>
      </c>
      <c r="K58">
        <v>4000</v>
      </c>
      <c r="L58" t="s">
        <v>18</v>
      </c>
      <c r="M58">
        <v>239.8</v>
      </c>
      <c r="N58">
        <v>92.7</v>
      </c>
    </row>
    <row r="59" spans="1:14" x14ac:dyDescent="0.25">
      <c r="A59" t="s">
        <v>14</v>
      </c>
      <c r="B59" t="s">
        <v>15</v>
      </c>
      <c r="C59" t="s">
        <v>132</v>
      </c>
      <c r="D59" t="s">
        <v>133</v>
      </c>
      <c r="E59">
        <v>65</v>
      </c>
      <c r="F59">
        <v>63.1</v>
      </c>
      <c r="G59">
        <v>68</v>
      </c>
      <c r="H59">
        <v>62</v>
      </c>
      <c r="I59">
        <v>65.5</v>
      </c>
      <c r="J59">
        <v>617880</v>
      </c>
      <c r="K59">
        <v>9600</v>
      </c>
      <c r="L59" t="s">
        <v>18</v>
      </c>
      <c r="M59">
        <v>128.85</v>
      </c>
      <c r="N59">
        <v>61.2</v>
      </c>
    </row>
    <row r="60" spans="1:14" x14ac:dyDescent="0.25">
      <c r="A60" t="s">
        <v>14</v>
      </c>
      <c r="B60" t="s">
        <v>33</v>
      </c>
      <c r="C60" t="s">
        <v>134</v>
      </c>
      <c r="D60" t="s">
        <v>135</v>
      </c>
      <c r="E60">
        <v>20.5</v>
      </c>
      <c r="F60">
        <v>20.05</v>
      </c>
      <c r="G60">
        <v>20.3</v>
      </c>
      <c r="H60">
        <v>20.05</v>
      </c>
      <c r="I60">
        <v>20.3</v>
      </c>
      <c r="J60">
        <v>567900</v>
      </c>
      <c r="K60">
        <v>28000</v>
      </c>
      <c r="L60" t="s">
        <v>18</v>
      </c>
      <c r="M60">
        <v>25.3</v>
      </c>
      <c r="N60">
        <v>13.65</v>
      </c>
    </row>
    <row r="61" spans="1:14" x14ac:dyDescent="0.25">
      <c r="A61" t="s">
        <v>14</v>
      </c>
      <c r="B61" t="s">
        <v>15</v>
      </c>
      <c r="C61" t="s">
        <v>136</v>
      </c>
      <c r="D61" t="s">
        <v>137</v>
      </c>
      <c r="E61">
        <v>152</v>
      </c>
      <c r="F61">
        <v>152.94999999999999</v>
      </c>
      <c r="G61">
        <v>156.94999999999999</v>
      </c>
      <c r="H61">
        <v>150.94999999999999</v>
      </c>
      <c r="I61">
        <v>152.05000000000001</v>
      </c>
      <c r="J61">
        <v>804100</v>
      </c>
      <c r="K61">
        <v>5200</v>
      </c>
      <c r="L61" t="s">
        <v>18</v>
      </c>
      <c r="M61">
        <v>317</v>
      </c>
      <c r="N61">
        <v>88</v>
      </c>
    </row>
    <row r="62" spans="1:14" x14ac:dyDescent="0.25">
      <c r="A62" t="s">
        <v>14</v>
      </c>
      <c r="B62" t="s">
        <v>15</v>
      </c>
      <c r="C62" t="s">
        <v>138</v>
      </c>
      <c r="D62" t="s">
        <v>139</v>
      </c>
      <c r="E62">
        <v>37.85</v>
      </c>
      <c r="F62">
        <v>37.85</v>
      </c>
      <c r="G62">
        <v>39.1</v>
      </c>
      <c r="H62">
        <v>37.85</v>
      </c>
      <c r="I62">
        <v>39.1</v>
      </c>
      <c r="J62">
        <v>277600</v>
      </c>
      <c r="K62">
        <v>7200</v>
      </c>
      <c r="L62" t="s">
        <v>18</v>
      </c>
      <c r="M62">
        <v>63.2</v>
      </c>
      <c r="N62">
        <v>35.35</v>
      </c>
    </row>
    <row r="63" spans="1:14" x14ac:dyDescent="0.25">
      <c r="A63" t="s">
        <v>14</v>
      </c>
      <c r="B63" t="s">
        <v>15</v>
      </c>
      <c r="C63" t="s">
        <v>140</v>
      </c>
      <c r="D63" t="s">
        <v>141</v>
      </c>
      <c r="E63">
        <v>80</v>
      </c>
      <c r="F63">
        <v>87.9</v>
      </c>
      <c r="G63">
        <v>87.9</v>
      </c>
      <c r="H63">
        <v>82.95</v>
      </c>
      <c r="I63">
        <v>82.95</v>
      </c>
      <c r="J63">
        <v>273360</v>
      </c>
      <c r="K63">
        <v>3200</v>
      </c>
      <c r="L63" t="s">
        <v>18</v>
      </c>
      <c r="M63">
        <v>111</v>
      </c>
      <c r="N63">
        <v>69</v>
      </c>
    </row>
    <row r="64" spans="1:14" x14ac:dyDescent="0.25">
      <c r="A64" t="s">
        <v>14</v>
      </c>
      <c r="B64" t="s">
        <v>15</v>
      </c>
      <c r="C64" t="s">
        <v>142</v>
      </c>
      <c r="D64" t="s">
        <v>143</v>
      </c>
      <c r="E64">
        <v>58.4</v>
      </c>
      <c r="F64">
        <v>55.6</v>
      </c>
      <c r="G64">
        <v>58</v>
      </c>
      <c r="H64">
        <v>55.5</v>
      </c>
      <c r="I64">
        <v>58</v>
      </c>
      <c r="J64">
        <v>202920</v>
      </c>
      <c r="K64">
        <v>3600</v>
      </c>
      <c r="L64" t="s">
        <v>18</v>
      </c>
      <c r="M64">
        <v>98</v>
      </c>
      <c r="N64">
        <v>50.55</v>
      </c>
    </row>
    <row r="65" spans="1:14" x14ac:dyDescent="0.25">
      <c r="A65" t="s">
        <v>14</v>
      </c>
      <c r="B65" t="s">
        <v>33</v>
      </c>
      <c r="C65" t="s">
        <v>144</v>
      </c>
      <c r="D65" t="s">
        <v>145</v>
      </c>
      <c r="E65">
        <v>1127</v>
      </c>
      <c r="F65">
        <v>1127</v>
      </c>
      <c r="G65">
        <v>1127</v>
      </c>
      <c r="H65">
        <v>1127</v>
      </c>
      <c r="I65">
        <v>1127</v>
      </c>
      <c r="J65">
        <v>1014300</v>
      </c>
      <c r="K65">
        <v>900</v>
      </c>
      <c r="L65" t="s">
        <v>18</v>
      </c>
      <c r="M65">
        <v>1306.45</v>
      </c>
      <c r="N65">
        <v>412</v>
      </c>
    </row>
    <row r="66" spans="1:14" x14ac:dyDescent="0.25">
      <c r="A66" t="s">
        <v>14</v>
      </c>
      <c r="B66" t="s">
        <v>15</v>
      </c>
      <c r="C66" t="s">
        <v>146</v>
      </c>
      <c r="D66" t="s">
        <v>147</v>
      </c>
      <c r="E66">
        <v>397</v>
      </c>
      <c r="F66">
        <v>403.65</v>
      </c>
      <c r="G66">
        <v>403.65</v>
      </c>
      <c r="H66">
        <v>378</v>
      </c>
      <c r="I66">
        <v>381.9</v>
      </c>
      <c r="J66">
        <v>18649305</v>
      </c>
      <c r="K66">
        <v>48450</v>
      </c>
      <c r="L66" t="s">
        <v>18</v>
      </c>
      <c r="M66">
        <v>888</v>
      </c>
      <c r="N66">
        <v>250.15</v>
      </c>
    </row>
    <row r="67" spans="1:14" x14ac:dyDescent="0.25">
      <c r="A67" t="s">
        <v>14</v>
      </c>
      <c r="B67" t="s">
        <v>15</v>
      </c>
      <c r="C67" t="s">
        <v>148</v>
      </c>
      <c r="D67" t="s">
        <v>149</v>
      </c>
      <c r="E67">
        <v>47.1</v>
      </c>
      <c r="F67">
        <v>49.45</v>
      </c>
      <c r="G67">
        <v>49.45</v>
      </c>
      <c r="H67">
        <v>48</v>
      </c>
      <c r="I67">
        <v>48</v>
      </c>
      <c r="J67">
        <v>48725</v>
      </c>
      <c r="K67">
        <v>1000</v>
      </c>
      <c r="L67" t="s">
        <v>18</v>
      </c>
      <c r="M67">
        <v>105.9</v>
      </c>
      <c r="N67">
        <v>35.6</v>
      </c>
    </row>
    <row r="68" spans="1:14" x14ac:dyDescent="0.25">
      <c r="A68" t="s">
        <v>14</v>
      </c>
      <c r="B68" t="s">
        <v>15</v>
      </c>
      <c r="C68" t="s">
        <v>150</v>
      </c>
      <c r="D68" t="s">
        <v>151</v>
      </c>
      <c r="E68">
        <v>25.85</v>
      </c>
      <c r="F68">
        <v>26</v>
      </c>
      <c r="G68">
        <v>26</v>
      </c>
      <c r="H68">
        <v>25.35</v>
      </c>
      <c r="I68">
        <v>25.5</v>
      </c>
      <c r="J68">
        <v>818800</v>
      </c>
      <c r="K68">
        <v>32000</v>
      </c>
      <c r="L68" t="s">
        <v>18</v>
      </c>
      <c r="M68">
        <v>36.9</v>
      </c>
      <c r="N68">
        <v>23.5</v>
      </c>
    </row>
    <row r="69" spans="1:14" x14ac:dyDescent="0.25">
      <c r="A69" t="s">
        <v>14</v>
      </c>
      <c r="B69" t="s">
        <v>15</v>
      </c>
      <c r="C69" t="s">
        <v>152</v>
      </c>
      <c r="D69" t="s">
        <v>153</v>
      </c>
      <c r="E69">
        <v>46.3</v>
      </c>
      <c r="F69">
        <v>45.35</v>
      </c>
      <c r="G69">
        <v>45.5</v>
      </c>
      <c r="H69">
        <v>45</v>
      </c>
      <c r="I69">
        <v>45</v>
      </c>
      <c r="J69">
        <v>361050</v>
      </c>
      <c r="K69">
        <v>8000</v>
      </c>
      <c r="L69" t="s">
        <v>18</v>
      </c>
      <c r="M69">
        <v>136.30000000000001</v>
      </c>
      <c r="N69">
        <v>45</v>
      </c>
    </row>
    <row r="70" spans="1:14" x14ac:dyDescent="0.25">
      <c r="A70" t="s">
        <v>14</v>
      </c>
      <c r="B70" t="s">
        <v>15</v>
      </c>
      <c r="C70" t="s">
        <v>154</v>
      </c>
      <c r="D70" t="s">
        <v>155</v>
      </c>
      <c r="E70">
        <v>16.8</v>
      </c>
      <c r="F70">
        <v>16.149999999999999</v>
      </c>
      <c r="G70">
        <v>16.5</v>
      </c>
      <c r="H70">
        <v>15.8</v>
      </c>
      <c r="I70">
        <v>16.5</v>
      </c>
      <c r="J70">
        <v>135600</v>
      </c>
      <c r="K70">
        <v>8400</v>
      </c>
      <c r="L70" t="s">
        <v>18</v>
      </c>
      <c r="M70">
        <v>26.9</v>
      </c>
      <c r="N70">
        <v>15.05</v>
      </c>
    </row>
    <row r="71" spans="1:14" x14ac:dyDescent="0.25">
      <c r="A71" t="s">
        <v>14</v>
      </c>
      <c r="B71" t="s">
        <v>15</v>
      </c>
      <c r="C71" t="s">
        <v>156</v>
      </c>
      <c r="D71" t="s">
        <v>157</v>
      </c>
      <c r="E71">
        <v>28.25</v>
      </c>
      <c r="F71">
        <v>27.75</v>
      </c>
      <c r="G71">
        <v>27.95</v>
      </c>
      <c r="H71">
        <v>26.75</v>
      </c>
      <c r="I71">
        <v>27.25</v>
      </c>
      <c r="J71">
        <v>10084050</v>
      </c>
      <c r="K71">
        <v>369000</v>
      </c>
      <c r="L71" t="s">
        <v>18</v>
      </c>
      <c r="M71">
        <v>68.8</v>
      </c>
      <c r="N71">
        <v>25.75</v>
      </c>
    </row>
    <row r="72" spans="1:14" x14ac:dyDescent="0.25">
      <c r="A72" t="s">
        <v>14</v>
      </c>
      <c r="B72" t="s">
        <v>15</v>
      </c>
      <c r="C72" t="s">
        <v>158</v>
      </c>
      <c r="D72" t="s">
        <v>159</v>
      </c>
      <c r="E72">
        <v>107.5</v>
      </c>
      <c r="F72">
        <v>108.95</v>
      </c>
      <c r="G72">
        <v>110</v>
      </c>
      <c r="H72">
        <v>99</v>
      </c>
      <c r="I72">
        <v>102.8</v>
      </c>
      <c r="J72">
        <v>3842850</v>
      </c>
      <c r="K72">
        <v>36750</v>
      </c>
      <c r="L72" t="s">
        <v>18</v>
      </c>
      <c r="M72">
        <v>183.9</v>
      </c>
      <c r="N72">
        <v>99</v>
      </c>
    </row>
    <row r="73" spans="1:14" x14ac:dyDescent="0.25">
      <c r="A73" t="s">
        <v>14</v>
      </c>
      <c r="B73" t="s">
        <v>15</v>
      </c>
      <c r="C73" t="s">
        <v>160</v>
      </c>
      <c r="D73" t="s">
        <v>161</v>
      </c>
      <c r="E73">
        <v>46</v>
      </c>
      <c r="F73">
        <v>45.95</v>
      </c>
      <c r="G73">
        <v>48.15</v>
      </c>
      <c r="H73">
        <v>44.5</v>
      </c>
      <c r="I73">
        <v>48.15</v>
      </c>
      <c r="J73">
        <v>1109100</v>
      </c>
      <c r="K73">
        <v>24000</v>
      </c>
      <c r="L73" t="s">
        <v>18</v>
      </c>
      <c r="M73">
        <v>71</v>
      </c>
      <c r="N73">
        <v>36.1</v>
      </c>
    </row>
    <row r="74" spans="1:14" x14ac:dyDescent="0.25">
      <c r="A74" t="s">
        <v>14</v>
      </c>
      <c r="B74" t="s">
        <v>15</v>
      </c>
      <c r="C74" t="s">
        <v>162</v>
      </c>
      <c r="D74" t="s">
        <v>163</v>
      </c>
      <c r="E74">
        <v>262.55</v>
      </c>
      <c r="F74">
        <v>267.35000000000002</v>
      </c>
      <c r="G74">
        <v>276.39999999999998</v>
      </c>
      <c r="H74">
        <v>262.05</v>
      </c>
      <c r="I74">
        <v>274</v>
      </c>
      <c r="J74">
        <v>7174080</v>
      </c>
      <c r="K74">
        <v>26400</v>
      </c>
      <c r="L74" t="s">
        <v>18</v>
      </c>
      <c r="M74">
        <v>358</v>
      </c>
      <c r="N74">
        <v>140</v>
      </c>
    </row>
    <row r="75" spans="1:14" x14ac:dyDescent="0.25">
      <c r="A75" t="s">
        <v>14</v>
      </c>
      <c r="B75" t="s">
        <v>15</v>
      </c>
      <c r="C75" t="s">
        <v>164</v>
      </c>
      <c r="D75" t="s">
        <v>165</v>
      </c>
      <c r="E75">
        <v>109.5</v>
      </c>
      <c r="F75">
        <v>112.6</v>
      </c>
      <c r="G75">
        <v>114</v>
      </c>
      <c r="H75">
        <v>110.5</v>
      </c>
      <c r="I75">
        <v>113.05</v>
      </c>
      <c r="J75">
        <v>2481600</v>
      </c>
      <c r="K75">
        <v>22000</v>
      </c>
      <c r="L75" t="s">
        <v>18</v>
      </c>
      <c r="M75">
        <v>175</v>
      </c>
      <c r="N75">
        <v>82.1</v>
      </c>
    </row>
    <row r="76" spans="1:14" x14ac:dyDescent="0.25">
      <c r="A76" t="s">
        <v>14</v>
      </c>
      <c r="B76" t="s">
        <v>15</v>
      </c>
      <c r="C76" t="s">
        <v>166</v>
      </c>
      <c r="D76" t="s">
        <v>167</v>
      </c>
      <c r="E76">
        <v>46.5</v>
      </c>
      <c r="F76">
        <v>48.95</v>
      </c>
      <c r="G76">
        <v>48.95</v>
      </c>
      <c r="H76">
        <v>45.15</v>
      </c>
      <c r="I76">
        <v>45.15</v>
      </c>
      <c r="J76">
        <v>373040</v>
      </c>
      <c r="K76">
        <v>8000</v>
      </c>
      <c r="L76" t="s">
        <v>18</v>
      </c>
      <c r="M76">
        <v>129</v>
      </c>
      <c r="N76">
        <v>43.2</v>
      </c>
    </row>
    <row r="77" spans="1:14" x14ac:dyDescent="0.25">
      <c r="A77" t="s">
        <v>14</v>
      </c>
      <c r="B77" t="s">
        <v>15</v>
      </c>
      <c r="C77" t="s">
        <v>168</v>
      </c>
      <c r="D77" t="s">
        <v>169</v>
      </c>
      <c r="E77">
        <v>58.05</v>
      </c>
      <c r="F77">
        <v>57.6</v>
      </c>
      <c r="G77">
        <v>57.6</v>
      </c>
      <c r="H77">
        <v>57</v>
      </c>
      <c r="I77">
        <v>57</v>
      </c>
      <c r="J77">
        <v>456960</v>
      </c>
      <c r="K77">
        <v>8000</v>
      </c>
      <c r="L77" t="s">
        <v>18</v>
      </c>
      <c r="M77">
        <v>113.9</v>
      </c>
      <c r="N77">
        <v>57</v>
      </c>
    </row>
    <row r="78" spans="1:14" x14ac:dyDescent="0.25">
      <c r="A78" t="s">
        <v>14</v>
      </c>
      <c r="B78" t="s">
        <v>15</v>
      </c>
      <c r="C78" t="s">
        <v>170</v>
      </c>
      <c r="D78" t="s">
        <v>171</v>
      </c>
      <c r="E78">
        <v>142.75</v>
      </c>
      <c r="F78">
        <v>145.75</v>
      </c>
      <c r="G78">
        <v>150.5</v>
      </c>
      <c r="H78">
        <v>140.1</v>
      </c>
      <c r="I78">
        <v>141.69999999999999</v>
      </c>
      <c r="J78">
        <v>45883650</v>
      </c>
      <c r="K78">
        <v>317000</v>
      </c>
      <c r="L78" t="s">
        <v>18</v>
      </c>
      <c r="M78">
        <v>151.9</v>
      </c>
      <c r="N78">
        <v>96.75</v>
      </c>
    </row>
    <row r="79" spans="1:14" x14ac:dyDescent="0.25">
      <c r="A79" t="s">
        <v>14</v>
      </c>
      <c r="B79" t="s">
        <v>15</v>
      </c>
      <c r="C79" t="s">
        <v>172</v>
      </c>
      <c r="D79" t="s">
        <v>173</v>
      </c>
      <c r="E79">
        <v>197</v>
      </c>
      <c r="F79">
        <v>205.8</v>
      </c>
      <c r="G79">
        <v>205.8</v>
      </c>
      <c r="H79">
        <v>205.65</v>
      </c>
      <c r="I79">
        <v>205.65</v>
      </c>
      <c r="J79">
        <v>329160</v>
      </c>
      <c r="K79">
        <v>1600</v>
      </c>
      <c r="L79" t="s">
        <v>18</v>
      </c>
      <c r="M79">
        <v>274.05</v>
      </c>
      <c r="N79">
        <v>174.25</v>
      </c>
    </row>
    <row r="80" spans="1:14" x14ac:dyDescent="0.25">
      <c r="A80" t="s">
        <v>14</v>
      </c>
      <c r="B80" t="s">
        <v>15</v>
      </c>
      <c r="C80" t="s">
        <v>174</v>
      </c>
      <c r="D80" t="s">
        <v>175</v>
      </c>
      <c r="E80">
        <v>250.65</v>
      </c>
      <c r="F80">
        <v>252.95</v>
      </c>
      <c r="G80">
        <v>252.95</v>
      </c>
      <c r="H80">
        <v>239.35</v>
      </c>
      <c r="I80">
        <v>244.3</v>
      </c>
      <c r="J80">
        <v>7422400</v>
      </c>
      <c r="K80">
        <v>30400</v>
      </c>
      <c r="L80" t="s">
        <v>18</v>
      </c>
      <c r="M80">
        <v>293</v>
      </c>
      <c r="N80">
        <v>177</v>
      </c>
    </row>
    <row r="81" spans="1:14" x14ac:dyDescent="0.25">
      <c r="A81" t="s">
        <v>14</v>
      </c>
      <c r="B81" t="s">
        <v>15</v>
      </c>
      <c r="C81" t="s">
        <v>176</v>
      </c>
      <c r="D81" t="s">
        <v>177</v>
      </c>
      <c r="E81">
        <v>63.15</v>
      </c>
      <c r="F81">
        <v>62.1</v>
      </c>
      <c r="G81">
        <v>62.1</v>
      </c>
      <c r="H81">
        <v>50.55</v>
      </c>
      <c r="I81">
        <v>52.35</v>
      </c>
      <c r="J81">
        <v>39649312.5</v>
      </c>
      <c r="K81">
        <v>738750</v>
      </c>
      <c r="L81" t="s">
        <v>18</v>
      </c>
      <c r="M81">
        <v>931</v>
      </c>
      <c r="N81">
        <v>50.55</v>
      </c>
    </row>
    <row r="82" spans="1:14" x14ac:dyDescent="0.25">
      <c r="A82" t="s">
        <v>14</v>
      </c>
      <c r="B82" t="s">
        <v>15</v>
      </c>
      <c r="C82" t="s">
        <v>178</v>
      </c>
      <c r="D82" t="s">
        <v>179</v>
      </c>
      <c r="E82">
        <v>39.6</v>
      </c>
      <c r="F82">
        <v>40.5</v>
      </c>
      <c r="G82">
        <v>40.5</v>
      </c>
      <c r="H82">
        <v>40.5</v>
      </c>
      <c r="I82">
        <v>40.5</v>
      </c>
      <c r="J82">
        <v>40500</v>
      </c>
      <c r="K82">
        <v>1000</v>
      </c>
      <c r="L82" t="s">
        <v>18</v>
      </c>
      <c r="M82">
        <v>94</v>
      </c>
      <c r="N82">
        <v>32.6</v>
      </c>
    </row>
    <row r="83" spans="1:14" x14ac:dyDescent="0.25">
      <c r="A83" t="s">
        <v>14</v>
      </c>
      <c r="B83" t="s">
        <v>15</v>
      </c>
      <c r="C83" t="s">
        <v>180</v>
      </c>
      <c r="D83" t="s">
        <v>181</v>
      </c>
      <c r="E83">
        <v>162.6</v>
      </c>
      <c r="F83">
        <v>160.05000000000001</v>
      </c>
      <c r="G83">
        <v>164.05</v>
      </c>
      <c r="H83">
        <v>156.44999999999999</v>
      </c>
      <c r="I83">
        <v>156.44999999999999</v>
      </c>
      <c r="J83">
        <v>4978800</v>
      </c>
      <c r="K83">
        <v>31200</v>
      </c>
      <c r="L83" t="s">
        <v>18</v>
      </c>
      <c r="M83">
        <v>259</v>
      </c>
      <c r="N83">
        <v>134.4</v>
      </c>
    </row>
    <row r="84" spans="1:14" x14ac:dyDescent="0.25">
      <c r="A84" t="s">
        <v>14</v>
      </c>
      <c r="B84" t="s">
        <v>15</v>
      </c>
      <c r="C84" t="s">
        <v>182</v>
      </c>
      <c r="D84" t="s">
        <v>183</v>
      </c>
      <c r="E84">
        <v>104.65</v>
      </c>
      <c r="F84">
        <v>101.2</v>
      </c>
      <c r="G84">
        <v>102.85</v>
      </c>
      <c r="H84">
        <v>98</v>
      </c>
      <c r="I84">
        <v>99.8</v>
      </c>
      <c r="J84">
        <v>1916000</v>
      </c>
      <c r="K84">
        <v>19000</v>
      </c>
      <c r="L84" t="s">
        <v>18</v>
      </c>
      <c r="M84">
        <v>147.9</v>
      </c>
      <c r="N84">
        <v>98</v>
      </c>
    </row>
    <row r="85" spans="1:14" x14ac:dyDescent="0.25">
      <c r="A85" t="s">
        <v>14</v>
      </c>
      <c r="B85" t="s">
        <v>15</v>
      </c>
      <c r="C85" t="s">
        <v>184</v>
      </c>
      <c r="D85" t="s">
        <v>185</v>
      </c>
      <c r="E85">
        <v>67.95</v>
      </c>
      <c r="F85">
        <v>64.650000000000006</v>
      </c>
      <c r="G85">
        <v>71.3</v>
      </c>
      <c r="H85">
        <v>64.650000000000006</v>
      </c>
      <c r="I85">
        <v>71.3</v>
      </c>
      <c r="J85">
        <v>931080</v>
      </c>
      <c r="K85">
        <v>13600</v>
      </c>
      <c r="L85" t="s">
        <v>18</v>
      </c>
      <c r="M85">
        <v>100.2</v>
      </c>
      <c r="N85">
        <v>64</v>
      </c>
    </row>
    <row r="86" spans="1:14" x14ac:dyDescent="0.25">
      <c r="A86" t="s">
        <v>14</v>
      </c>
      <c r="B86" t="s">
        <v>15</v>
      </c>
      <c r="C86" t="s">
        <v>186</v>
      </c>
      <c r="D86" t="s">
        <v>187</v>
      </c>
      <c r="E86">
        <v>620.54999999999995</v>
      </c>
      <c r="F86">
        <v>617.4</v>
      </c>
      <c r="G86">
        <v>617.45000000000005</v>
      </c>
      <c r="H86">
        <v>598</v>
      </c>
      <c r="I86">
        <v>610.6</v>
      </c>
      <c r="J86">
        <v>17960647.5</v>
      </c>
      <c r="K86">
        <v>29700</v>
      </c>
      <c r="L86" t="s">
        <v>18</v>
      </c>
      <c r="M86">
        <v>1189</v>
      </c>
      <c r="N86">
        <v>598</v>
      </c>
    </row>
    <row r="87" spans="1:14" x14ac:dyDescent="0.25">
      <c r="A87" t="s">
        <v>14</v>
      </c>
      <c r="B87" t="s">
        <v>15</v>
      </c>
      <c r="C87" t="s">
        <v>188</v>
      </c>
      <c r="D87" t="s">
        <v>189</v>
      </c>
      <c r="E87">
        <v>46</v>
      </c>
      <c r="F87">
        <v>45.1</v>
      </c>
      <c r="G87">
        <v>45.65</v>
      </c>
      <c r="H87">
        <v>45.1</v>
      </c>
      <c r="I87">
        <v>45.5</v>
      </c>
      <c r="J87">
        <v>272500</v>
      </c>
      <c r="K87">
        <v>6000</v>
      </c>
      <c r="L87" t="s">
        <v>18</v>
      </c>
      <c r="M87">
        <v>66</v>
      </c>
      <c r="N87">
        <v>40.1</v>
      </c>
    </row>
    <row r="88" spans="1:14" x14ac:dyDescent="0.25">
      <c r="A88" t="s">
        <v>14</v>
      </c>
      <c r="B88" t="s">
        <v>15</v>
      </c>
      <c r="C88" t="s">
        <v>190</v>
      </c>
      <c r="D88" t="s">
        <v>191</v>
      </c>
      <c r="E88">
        <v>60.85</v>
      </c>
      <c r="F88">
        <v>60</v>
      </c>
      <c r="G88">
        <v>62</v>
      </c>
      <c r="H88">
        <v>60</v>
      </c>
      <c r="I88">
        <v>62</v>
      </c>
      <c r="J88">
        <v>510000</v>
      </c>
      <c r="K88">
        <v>8400</v>
      </c>
      <c r="L88" t="s">
        <v>18</v>
      </c>
      <c r="M88">
        <v>95.8</v>
      </c>
      <c r="N88">
        <v>53.9</v>
      </c>
    </row>
    <row r="89" spans="1:14" x14ac:dyDescent="0.25">
      <c r="A89" t="s">
        <v>14</v>
      </c>
      <c r="B89" t="s">
        <v>15</v>
      </c>
      <c r="C89" t="s">
        <v>192</v>
      </c>
      <c r="D89" t="s">
        <v>193</v>
      </c>
      <c r="E89">
        <v>145.35</v>
      </c>
      <c r="F89">
        <v>140.25</v>
      </c>
      <c r="G89">
        <v>145</v>
      </c>
      <c r="H89">
        <v>138.55000000000001</v>
      </c>
      <c r="I89">
        <v>141.05000000000001</v>
      </c>
      <c r="J89">
        <v>1358760</v>
      </c>
      <c r="K89">
        <v>9600</v>
      </c>
      <c r="L89" t="s">
        <v>18</v>
      </c>
      <c r="M89">
        <v>374.8</v>
      </c>
      <c r="N89">
        <v>132</v>
      </c>
    </row>
    <row r="90" spans="1:14" x14ac:dyDescent="0.25">
      <c r="A90" t="s">
        <v>14</v>
      </c>
      <c r="B90" t="s">
        <v>15</v>
      </c>
      <c r="C90" t="s">
        <v>194</v>
      </c>
      <c r="D90" t="s">
        <v>195</v>
      </c>
      <c r="E90">
        <v>46.05</v>
      </c>
      <c r="F90">
        <v>45.25</v>
      </c>
      <c r="G90">
        <v>45.35</v>
      </c>
      <c r="H90">
        <v>45.25</v>
      </c>
      <c r="I90">
        <v>45.35</v>
      </c>
      <c r="J90">
        <v>135900</v>
      </c>
      <c r="K90">
        <v>3000</v>
      </c>
      <c r="L90" t="s">
        <v>18</v>
      </c>
      <c r="M90">
        <v>76.45</v>
      </c>
      <c r="N90">
        <v>38.35</v>
      </c>
    </row>
    <row r="91" spans="1:14" x14ac:dyDescent="0.25">
      <c r="A91" t="s">
        <v>14</v>
      </c>
      <c r="B91" t="s">
        <v>15</v>
      </c>
      <c r="C91" t="s">
        <v>196</v>
      </c>
      <c r="D91" t="s">
        <v>197</v>
      </c>
      <c r="E91">
        <v>114.65</v>
      </c>
      <c r="F91">
        <v>110.15</v>
      </c>
      <c r="G91">
        <v>111.95</v>
      </c>
      <c r="H91">
        <v>108.25</v>
      </c>
      <c r="I91">
        <v>110</v>
      </c>
      <c r="J91">
        <v>1059150</v>
      </c>
      <c r="K91">
        <v>9600</v>
      </c>
      <c r="L91" t="s">
        <v>18</v>
      </c>
      <c r="M91">
        <v>220</v>
      </c>
      <c r="N91">
        <v>107.1</v>
      </c>
    </row>
    <row r="92" spans="1:14" x14ac:dyDescent="0.25">
      <c r="A92" t="s">
        <v>14</v>
      </c>
      <c r="B92" t="s">
        <v>15</v>
      </c>
      <c r="C92" t="s">
        <v>198</v>
      </c>
      <c r="D92" t="s">
        <v>199</v>
      </c>
      <c r="E92">
        <v>39.200000000000003</v>
      </c>
      <c r="F92">
        <v>39.200000000000003</v>
      </c>
      <c r="G92">
        <v>39.200000000000003</v>
      </c>
      <c r="H92">
        <v>37.5</v>
      </c>
      <c r="I92">
        <v>38.549999999999997</v>
      </c>
      <c r="J92">
        <v>683550</v>
      </c>
      <c r="K92">
        <v>18000</v>
      </c>
      <c r="L92" t="s">
        <v>18</v>
      </c>
      <c r="M92">
        <v>129.9</v>
      </c>
      <c r="N92">
        <v>37.15</v>
      </c>
    </row>
    <row r="93" spans="1:14" x14ac:dyDescent="0.25">
      <c r="A93" t="s">
        <v>14</v>
      </c>
      <c r="B93" t="s">
        <v>15</v>
      </c>
      <c r="C93" t="s">
        <v>200</v>
      </c>
      <c r="D93" t="s">
        <v>201</v>
      </c>
      <c r="E93">
        <v>28.9</v>
      </c>
      <c r="F93">
        <v>26.5</v>
      </c>
      <c r="G93">
        <v>29.6</v>
      </c>
      <c r="H93">
        <v>26.5</v>
      </c>
      <c r="I93">
        <v>29.05</v>
      </c>
      <c r="J93">
        <v>611600</v>
      </c>
      <c r="K93">
        <v>22000</v>
      </c>
      <c r="L93" t="s">
        <v>18</v>
      </c>
      <c r="M93">
        <v>66</v>
      </c>
      <c r="N93">
        <v>23.9</v>
      </c>
    </row>
    <row r="94" spans="1:14" x14ac:dyDescent="0.25">
      <c r="A94" t="s">
        <v>14</v>
      </c>
      <c r="B94" t="s">
        <v>15</v>
      </c>
      <c r="C94" t="s">
        <v>202</v>
      </c>
      <c r="D94" t="s">
        <v>203</v>
      </c>
      <c r="E94">
        <v>123</v>
      </c>
      <c r="F94">
        <v>121.55</v>
      </c>
      <c r="G94">
        <v>124</v>
      </c>
      <c r="H94">
        <v>121.5</v>
      </c>
      <c r="I94">
        <v>124</v>
      </c>
      <c r="J94">
        <v>3072300</v>
      </c>
      <c r="K94">
        <v>25000</v>
      </c>
      <c r="L94" t="s">
        <v>18</v>
      </c>
      <c r="M94">
        <v>157.5</v>
      </c>
      <c r="N94">
        <v>103.2</v>
      </c>
    </row>
    <row r="95" spans="1:14" x14ac:dyDescent="0.25">
      <c r="A95" t="s">
        <v>204</v>
      </c>
      <c r="B95" t="s">
        <v>33</v>
      </c>
      <c r="C95" t="s">
        <v>205</v>
      </c>
      <c r="D95" t="s">
        <v>206</v>
      </c>
      <c r="E95">
        <v>395.95</v>
      </c>
      <c r="F95">
        <v>394.8</v>
      </c>
      <c r="G95">
        <v>402</v>
      </c>
      <c r="H95">
        <v>393.45</v>
      </c>
      <c r="I95">
        <v>401</v>
      </c>
      <c r="J95">
        <v>11482230</v>
      </c>
      <c r="K95">
        <v>28800</v>
      </c>
      <c r="L95" t="s">
        <v>18</v>
      </c>
      <c r="M95">
        <v>402</v>
      </c>
      <c r="N95">
        <v>90.5</v>
      </c>
    </row>
    <row r="96" spans="1:14" x14ac:dyDescent="0.25">
      <c r="A96" t="s">
        <v>14</v>
      </c>
      <c r="B96" t="s">
        <v>15</v>
      </c>
      <c r="C96" t="s">
        <v>207</v>
      </c>
      <c r="D96" t="s">
        <v>208</v>
      </c>
      <c r="E96">
        <v>64.349999999999994</v>
      </c>
      <c r="F96">
        <v>68</v>
      </c>
      <c r="G96">
        <v>68</v>
      </c>
      <c r="H96">
        <v>62.6</v>
      </c>
      <c r="I96">
        <v>64.45</v>
      </c>
      <c r="J96">
        <v>1355940</v>
      </c>
      <c r="K96">
        <v>21200</v>
      </c>
      <c r="L96" t="s">
        <v>18</v>
      </c>
      <c r="M96">
        <v>255.15</v>
      </c>
      <c r="N96">
        <v>61.25</v>
      </c>
    </row>
    <row r="97" spans="1:14" x14ac:dyDescent="0.25">
      <c r="A97" t="s">
        <v>204</v>
      </c>
      <c r="B97" t="s">
        <v>33</v>
      </c>
      <c r="C97" t="s">
        <v>209</v>
      </c>
      <c r="D97" t="s">
        <v>210</v>
      </c>
      <c r="E97">
        <v>227.45</v>
      </c>
      <c r="F97">
        <v>230</v>
      </c>
      <c r="G97">
        <v>230</v>
      </c>
      <c r="H97">
        <v>229.8</v>
      </c>
      <c r="I97">
        <v>229.8</v>
      </c>
      <c r="J97">
        <v>3678560</v>
      </c>
      <c r="K97">
        <v>16000</v>
      </c>
      <c r="L97" t="s">
        <v>18</v>
      </c>
      <c r="M97">
        <v>257.75</v>
      </c>
      <c r="N97">
        <v>43</v>
      </c>
    </row>
    <row r="98" spans="1:14" x14ac:dyDescent="0.25">
      <c r="A98" t="s">
        <v>204</v>
      </c>
      <c r="B98" t="s">
        <v>33</v>
      </c>
      <c r="C98" t="s">
        <v>211</v>
      </c>
      <c r="D98" t="s">
        <v>212</v>
      </c>
      <c r="E98">
        <v>279.3</v>
      </c>
      <c r="F98">
        <v>275</v>
      </c>
      <c r="G98">
        <v>275</v>
      </c>
      <c r="H98">
        <v>273.75</v>
      </c>
      <c r="I98">
        <v>273.75</v>
      </c>
      <c r="J98">
        <v>685625</v>
      </c>
      <c r="K98">
        <v>2500</v>
      </c>
      <c r="L98" t="s">
        <v>18</v>
      </c>
      <c r="M98">
        <v>330.6</v>
      </c>
      <c r="N98">
        <v>92.05</v>
      </c>
    </row>
    <row r="99" spans="1:14" x14ac:dyDescent="0.25">
      <c r="A99" t="s">
        <v>14</v>
      </c>
      <c r="B99" t="s">
        <v>15</v>
      </c>
      <c r="C99" t="s">
        <v>213</v>
      </c>
      <c r="D99" t="s">
        <v>214</v>
      </c>
      <c r="E99">
        <v>35.65</v>
      </c>
      <c r="F99">
        <v>37.799999999999997</v>
      </c>
      <c r="G99">
        <v>37.799999999999997</v>
      </c>
      <c r="H99">
        <v>37.799999999999997</v>
      </c>
      <c r="I99">
        <v>37.799999999999997</v>
      </c>
      <c r="J99">
        <v>151200</v>
      </c>
      <c r="K99">
        <v>4000</v>
      </c>
      <c r="L99" t="s">
        <v>18</v>
      </c>
      <c r="M99">
        <v>44.25</v>
      </c>
      <c r="N99">
        <v>32</v>
      </c>
    </row>
    <row r="100" spans="1:14" x14ac:dyDescent="0.25">
      <c r="A100" t="s">
        <v>14</v>
      </c>
      <c r="B100" t="s">
        <v>15</v>
      </c>
      <c r="C100" t="s">
        <v>215</v>
      </c>
      <c r="D100" t="s">
        <v>216</v>
      </c>
      <c r="E100">
        <v>53.8</v>
      </c>
      <c r="F100">
        <v>56.15</v>
      </c>
      <c r="G100">
        <v>56.4</v>
      </c>
      <c r="H100">
        <v>52.2</v>
      </c>
      <c r="I100">
        <v>52.7</v>
      </c>
      <c r="J100">
        <v>2086150</v>
      </c>
      <c r="K100">
        <v>39000</v>
      </c>
      <c r="L100" t="s">
        <v>18</v>
      </c>
      <c r="M100">
        <v>166.3</v>
      </c>
      <c r="N100">
        <v>50.55</v>
      </c>
    </row>
    <row r="101" spans="1:14" x14ac:dyDescent="0.25">
      <c r="A101" t="s">
        <v>14</v>
      </c>
      <c r="B101" t="s">
        <v>15</v>
      </c>
      <c r="C101" t="s">
        <v>217</v>
      </c>
      <c r="D101" t="s">
        <v>218</v>
      </c>
      <c r="E101">
        <v>24.7</v>
      </c>
      <c r="F101">
        <v>23.55</v>
      </c>
      <c r="G101">
        <v>23.55</v>
      </c>
      <c r="H101">
        <v>23.55</v>
      </c>
      <c r="I101">
        <v>23.55</v>
      </c>
      <c r="J101">
        <v>37680</v>
      </c>
      <c r="K101">
        <v>1600</v>
      </c>
      <c r="L101" t="s">
        <v>18</v>
      </c>
      <c r="M101">
        <v>55.4</v>
      </c>
      <c r="N101">
        <v>22</v>
      </c>
    </row>
    <row r="102" spans="1:14" x14ac:dyDescent="0.25">
      <c r="A102" t="s">
        <v>14</v>
      </c>
      <c r="B102" t="s">
        <v>15</v>
      </c>
      <c r="C102" t="s">
        <v>219</v>
      </c>
      <c r="D102" t="s">
        <v>220</v>
      </c>
      <c r="E102">
        <v>55</v>
      </c>
      <c r="F102">
        <v>52.25</v>
      </c>
      <c r="G102">
        <v>52.25</v>
      </c>
      <c r="H102">
        <v>52.25</v>
      </c>
      <c r="I102">
        <v>52.25</v>
      </c>
      <c r="J102">
        <v>125400</v>
      </c>
      <c r="K102">
        <v>2400</v>
      </c>
      <c r="L102" t="s">
        <v>18</v>
      </c>
      <c r="M102">
        <v>118.7</v>
      </c>
      <c r="N102">
        <v>52.25</v>
      </c>
    </row>
    <row r="103" spans="1:14" x14ac:dyDescent="0.25">
      <c r="A103" t="s">
        <v>14</v>
      </c>
      <c r="B103" t="s">
        <v>15</v>
      </c>
      <c r="C103" t="s">
        <v>221</v>
      </c>
      <c r="D103" t="s">
        <v>222</v>
      </c>
      <c r="E103">
        <v>134.65</v>
      </c>
      <c r="F103">
        <v>126.9</v>
      </c>
      <c r="G103">
        <v>135.1</v>
      </c>
      <c r="H103">
        <v>124.95</v>
      </c>
      <c r="I103">
        <v>126.45</v>
      </c>
      <c r="J103">
        <v>4520280</v>
      </c>
      <c r="K103">
        <v>35200</v>
      </c>
      <c r="L103" t="s">
        <v>18</v>
      </c>
      <c r="M103">
        <v>209.5</v>
      </c>
      <c r="N103">
        <v>93.5</v>
      </c>
    </row>
    <row r="104" spans="1:14" x14ac:dyDescent="0.25">
      <c r="A104" t="s">
        <v>14</v>
      </c>
      <c r="B104" t="s">
        <v>15</v>
      </c>
      <c r="C104" t="s">
        <v>223</v>
      </c>
      <c r="D104" t="s">
        <v>224</v>
      </c>
      <c r="E104">
        <v>29</v>
      </c>
      <c r="F104">
        <v>27.5</v>
      </c>
      <c r="G104">
        <v>29.1</v>
      </c>
      <c r="H104">
        <v>27.25</v>
      </c>
      <c r="I104">
        <v>29</v>
      </c>
      <c r="J104">
        <v>1042000</v>
      </c>
      <c r="K104">
        <v>37500</v>
      </c>
      <c r="L104" t="s">
        <v>18</v>
      </c>
      <c r="M104">
        <v>64</v>
      </c>
      <c r="N104">
        <v>26.5</v>
      </c>
    </row>
    <row r="105" spans="1:14" x14ac:dyDescent="0.25">
      <c r="A105" t="s">
        <v>14</v>
      </c>
      <c r="B105" t="s">
        <v>15</v>
      </c>
      <c r="C105" t="s">
        <v>225</v>
      </c>
      <c r="D105" t="s">
        <v>226</v>
      </c>
      <c r="E105">
        <v>39</v>
      </c>
      <c r="F105">
        <v>39.9</v>
      </c>
      <c r="G105">
        <v>39.9</v>
      </c>
      <c r="H105">
        <v>36.5</v>
      </c>
      <c r="I105">
        <v>37.799999999999997</v>
      </c>
      <c r="J105">
        <v>1213100</v>
      </c>
      <c r="K105">
        <v>32000</v>
      </c>
      <c r="L105" t="s">
        <v>18</v>
      </c>
      <c r="M105">
        <v>58</v>
      </c>
      <c r="N105">
        <v>30.55</v>
      </c>
    </row>
    <row r="106" spans="1:14" x14ac:dyDescent="0.25">
      <c r="A106" t="s">
        <v>14</v>
      </c>
      <c r="B106" t="s">
        <v>15</v>
      </c>
      <c r="C106" t="s">
        <v>227</v>
      </c>
      <c r="D106" t="s">
        <v>228</v>
      </c>
      <c r="E106">
        <v>135.15</v>
      </c>
      <c r="F106">
        <v>135.15</v>
      </c>
      <c r="G106">
        <v>139</v>
      </c>
      <c r="H106">
        <v>133</v>
      </c>
      <c r="I106">
        <v>138.15</v>
      </c>
      <c r="J106">
        <v>544325</v>
      </c>
      <c r="K106">
        <v>4000</v>
      </c>
      <c r="L106" t="s">
        <v>18</v>
      </c>
      <c r="M106">
        <v>312.64999999999998</v>
      </c>
      <c r="N106">
        <v>85.4</v>
      </c>
    </row>
    <row r="107" spans="1:14" x14ac:dyDescent="0.25">
      <c r="A107" t="s">
        <v>14</v>
      </c>
      <c r="B107" t="s">
        <v>33</v>
      </c>
      <c r="C107" t="s">
        <v>229</v>
      </c>
      <c r="D107" t="s">
        <v>230</v>
      </c>
      <c r="E107">
        <v>260</v>
      </c>
      <c r="F107">
        <v>260</v>
      </c>
      <c r="G107">
        <v>269.89999999999998</v>
      </c>
      <c r="H107">
        <v>254</v>
      </c>
      <c r="I107">
        <v>269.89999999999998</v>
      </c>
      <c r="J107">
        <v>722440</v>
      </c>
      <c r="K107">
        <v>2800</v>
      </c>
      <c r="L107" t="s">
        <v>18</v>
      </c>
      <c r="M107">
        <v>348</v>
      </c>
      <c r="N107">
        <v>127.5</v>
      </c>
    </row>
    <row r="108" spans="1:14" x14ac:dyDescent="0.25">
      <c r="A108" t="s">
        <v>14</v>
      </c>
      <c r="B108" t="s">
        <v>15</v>
      </c>
      <c r="C108" t="s">
        <v>231</v>
      </c>
      <c r="D108" t="s">
        <v>232</v>
      </c>
      <c r="E108">
        <v>223.95</v>
      </c>
      <c r="F108">
        <v>220</v>
      </c>
      <c r="G108">
        <v>224.9</v>
      </c>
      <c r="H108">
        <v>217</v>
      </c>
      <c r="I108">
        <v>217.8</v>
      </c>
      <c r="J108">
        <v>12971040</v>
      </c>
      <c r="K108">
        <v>59200</v>
      </c>
      <c r="L108" t="s">
        <v>18</v>
      </c>
      <c r="M108">
        <v>347.1</v>
      </c>
      <c r="N108">
        <v>215</v>
      </c>
    </row>
    <row r="109" spans="1:14" x14ac:dyDescent="0.25">
      <c r="A109" t="s">
        <v>14</v>
      </c>
      <c r="B109" t="s">
        <v>15</v>
      </c>
      <c r="C109" t="s">
        <v>233</v>
      </c>
      <c r="D109" t="s">
        <v>234</v>
      </c>
      <c r="E109">
        <v>124.9</v>
      </c>
      <c r="F109">
        <v>130</v>
      </c>
      <c r="G109">
        <v>133</v>
      </c>
      <c r="H109">
        <v>130</v>
      </c>
      <c r="I109">
        <v>131.94999999999999</v>
      </c>
      <c r="J109">
        <v>1988900</v>
      </c>
      <c r="K109">
        <v>15000</v>
      </c>
      <c r="L109" t="s">
        <v>18</v>
      </c>
      <c r="M109">
        <v>143.9</v>
      </c>
      <c r="N109">
        <v>115</v>
      </c>
    </row>
    <row r="110" spans="1:14" x14ac:dyDescent="0.25">
      <c r="A110" t="s">
        <v>14</v>
      </c>
      <c r="B110" t="s">
        <v>15</v>
      </c>
      <c r="C110" t="s">
        <v>235</v>
      </c>
      <c r="D110" t="s">
        <v>236</v>
      </c>
      <c r="E110">
        <v>215.45</v>
      </c>
      <c r="F110">
        <v>211</v>
      </c>
      <c r="G110">
        <v>211</v>
      </c>
      <c r="H110">
        <v>205</v>
      </c>
      <c r="I110">
        <v>207.65</v>
      </c>
      <c r="J110">
        <v>2161600</v>
      </c>
      <c r="K110">
        <v>10400</v>
      </c>
      <c r="L110" t="s">
        <v>18</v>
      </c>
      <c r="M110">
        <v>270</v>
      </c>
      <c r="N110">
        <v>147.55000000000001</v>
      </c>
    </row>
    <row r="111" spans="1:14" x14ac:dyDescent="0.25">
      <c r="A111" t="s">
        <v>14</v>
      </c>
      <c r="B111" t="s">
        <v>15</v>
      </c>
      <c r="C111" t="s">
        <v>237</v>
      </c>
      <c r="D111" t="s">
        <v>238</v>
      </c>
      <c r="E111">
        <v>31</v>
      </c>
      <c r="F111">
        <v>31.5</v>
      </c>
      <c r="G111">
        <v>31.65</v>
      </c>
      <c r="H111">
        <v>31.5</v>
      </c>
      <c r="I111">
        <v>31.6</v>
      </c>
      <c r="J111">
        <v>454980</v>
      </c>
      <c r="K111">
        <v>14400</v>
      </c>
      <c r="L111" t="s">
        <v>18</v>
      </c>
      <c r="M111">
        <v>54.5</v>
      </c>
      <c r="N111">
        <v>29.2</v>
      </c>
    </row>
    <row r="112" spans="1:14" x14ac:dyDescent="0.25">
      <c r="A112" t="s">
        <v>14</v>
      </c>
      <c r="B112" t="s">
        <v>15</v>
      </c>
      <c r="C112" t="s">
        <v>239</v>
      </c>
      <c r="D112" t="s">
        <v>240</v>
      </c>
      <c r="E112">
        <v>75.55</v>
      </c>
      <c r="F112">
        <v>74.5</v>
      </c>
      <c r="G112">
        <v>77.650000000000006</v>
      </c>
      <c r="H112">
        <v>74.150000000000006</v>
      </c>
      <c r="I112">
        <v>75.2</v>
      </c>
      <c r="J112">
        <v>679450</v>
      </c>
      <c r="K112">
        <v>9000</v>
      </c>
      <c r="L112" t="s">
        <v>18</v>
      </c>
      <c r="M112">
        <v>163.5</v>
      </c>
      <c r="N112">
        <v>74.150000000000006</v>
      </c>
    </row>
    <row r="113" spans="1:14" x14ac:dyDescent="0.25">
      <c r="A113" t="s">
        <v>14</v>
      </c>
      <c r="B113" t="s">
        <v>15</v>
      </c>
      <c r="C113" t="s">
        <v>241</v>
      </c>
      <c r="D113" t="s">
        <v>242</v>
      </c>
      <c r="E113">
        <v>80.849999999999994</v>
      </c>
      <c r="F113">
        <v>81</v>
      </c>
      <c r="G113">
        <v>87</v>
      </c>
      <c r="H113">
        <v>80.849999999999994</v>
      </c>
      <c r="I113">
        <v>82.15</v>
      </c>
      <c r="J113">
        <v>574900</v>
      </c>
      <c r="K113">
        <v>7000</v>
      </c>
      <c r="L113" t="s">
        <v>18</v>
      </c>
      <c r="M113">
        <v>147</v>
      </c>
      <c r="N113">
        <v>79.25</v>
      </c>
    </row>
    <row r="114" spans="1:14" x14ac:dyDescent="0.25">
      <c r="A114" t="s">
        <v>14</v>
      </c>
      <c r="B114" t="s">
        <v>15</v>
      </c>
      <c r="C114" t="s">
        <v>243</v>
      </c>
      <c r="D114" t="s">
        <v>244</v>
      </c>
      <c r="E114">
        <v>95.4</v>
      </c>
      <c r="F114">
        <v>95.4</v>
      </c>
      <c r="G114">
        <v>98.85</v>
      </c>
      <c r="H114">
        <v>94</v>
      </c>
      <c r="I114">
        <v>94.25</v>
      </c>
      <c r="J114">
        <v>3003540</v>
      </c>
      <c r="K114">
        <v>31200</v>
      </c>
      <c r="L114" t="s">
        <v>18</v>
      </c>
      <c r="M114">
        <v>153</v>
      </c>
      <c r="N114">
        <v>94</v>
      </c>
    </row>
    <row r="115" spans="1:14" x14ac:dyDescent="0.25">
      <c r="A115" t="s">
        <v>14</v>
      </c>
      <c r="B115" t="s">
        <v>15</v>
      </c>
      <c r="C115" t="s">
        <v>245</v>
      </c>
      <c r="D115" t="s">
        <v>246</v>
      </c>
      <c r="E115">
        <v>97.5</v>
      </c>
      <c r="F115">
        <v>95</v>
      </c>
      <c r="G115">
        <v>97</v>
      </c>
      <c r="H115">
        <v>95</v>
      </c>
      <c r="I115">
        <v>97</v>
      </c>
      <c r="J115">
        <v>259050</v>
      </c>
      <c r="K115">
        <v>2700</v>
      </c>
      <c r="L115" t="s">
        <v>18</v>
      </c>
      <c r="M115">
        <v>480</v>
      </c>
      <c r="N115">
        <v>94.05</v>
      </c>
    </row>
    <row r="116" spans="1:14" x14ac:dyDescent="0.25">
      <c r="A116" t="s">
        <v>14</v>
      </c>
      <c r="B116" t="s">
        <v>15</v>
      </c>
      <c r="C116" t="s">
        <v>247</v>
      </c>
      <c r="D116" t="s">
        <v>248</v>
      </c>
      <c r="E116">
        <v>214</v>
      </c>
      <c r="F116">
        <v>214.9</v>
      </c>
      <c r="G116">
        <v>214.9</v>
      </c>
      <c r="H116">
        <v>214</v>
      </c>
      <c r="I116">
        <v>214</v>
      </c>
      <c r="J116">
        <v>4369920</v>
      </c>
      <c r="K116">
        <v>20400</v>
      </c>
      <c r="L116" t="s">
        <v>18</v>
      </c>
      <c r="M116">
        <v>265</v>
      </c>
      <c r="N116">
        <v>167.35</v>
      </c>
    </row>
    <row r="117" spans="1:14" x14ac:dyDescent="0.25">
      <c r="A117" t="s">
        <v>14</v>
      </c>
      <c r="B117" t="s">
        <v>15</v>
      </c>
      <c r="C117" t="s">
        <v>249</v>
      </c>
      <c r="D117" t="s">
        <v>250</v>
      </c>
      <c r="E117">
        <v>155.19999999999999</v>
      </c>
      <c r="F117">
        <v>150.05000000000001</v>
      </c>
      <c r="G117">
        <v>151</v>
      </c>
      <c r="H117">
        <v>139.44999999999999</v>
      </c>
      <c r="I117">
        <v>142.55000000000001</v>
      </c>
      <c r="J117">
        <v>2207462.5</v>
      </c>
      <c r="K117">
        <v>15250</v>
      </c>
      <c r="L117" t="s">
        <v>18</v>
      </c>
      <c r="M117">
        <v>319</v>
      </c>
      <c r="N117">
        <v>139.44999999999999</v>
      </c>
    </row>
    <row r="118" spans="1:14" x14ac:dyDescent="0.25">
      <c r="A118" t="s">
        <v>14</v>
      </c>
      <c r="B118" t="s">
        <v>15</v>
      </c>
      <c r="C118" t="s">
        <v>251</v>
      </c>
      <c r="D118" t="s">
        <v>252</v>
      </c>
      <c r="E118">
        <v>196</v>
      </c>
      <c r="F118">
        <v>205</v>
      </c>
      <c r="G118">
        <v>205</v>
      </c>
      <c r="H118">
        <v>205</v>
      </c>
      <c r="I118">
        <v>205</v>
      </c>
      <c r="J118">
        <v>123000</v>
      </c>
      <c r="K118">
        <v>600</v>
      </c>
      <c r="L118" t="s">
        <v>18</v>
      </c>
      <c r="M118">
        <v>284</v>
      </c>
      <c r="N118">
        <v>164</v>
      </c>
    </row>
    <row r="119" spans="1:14" x14ac:dyDescent="0.25">
      <c r="A119" t="s">
        <v>14</v>
      </c>
      <c r="B119" t="s">
        <v>15</v>
      </c>
      <c r="C119" t="s">
        <v>253</v>
      </c>
      <c r="D119" t="s">
        <v>254</v>
      </c>
      <c r="E119">
        <v>13.5</v>
      </c>
      <c r="F119">
        <v>13.05</v>
      </c>
      <c r="G119">
        <v>13.5</v>
      </c>
      <c r="H119">
        <v>12.8</v>
      </c>
      <c r="I119">
        <v>12.95</v>
      </c>
      <c r="J119">
        <v>2715250</v>
      </c>
      <c r="K119">
        <v>210000</v>
      </c>
      <c r="L119" t="s">
        <v>18</v>
      </c>
      <c r="M119">
        <v>162.80000000000001</v>
      </c>
      <c r="N119">
        <v>12.8</v>
      </c>
    </row>
    <row r="120" spans="1:14" x14ac:dyDescent="0.25">
      <c r="A120" t="s">
        <v>14</v>
      </c>
      <c r="B120" t="s">
        <v>15</v>
      </c>
      <c r="C120" t="s">
        <v>255</v>
      </c>
      <c r="D120" t="s">
        <v>256</v>
      </c>
      <c r="E120">
        <v>101.95</v>
      </c>
      <c r="F120">
        <v>100.2</v>
      </c>
      <c r="G120">
        <v>102</v>
      </c>
      <c r="H120">
        <v>82</v>
      </c>
      <c r="I120">
        <v>86.7</v>
      </c>
      <c r="J120">
        <v>18669750</v>
      </c>
      <c r="K120">
        <v>217000</v>
      </c>
      <c r="L120" t="s">
        <v>18</v>
      </c>
      <c r="M120">
        <v>173</v>
      </c>
      <c r="N120">
        <v>82</v>
      </c>
    </row>
    <row r="121" spans="1:14" x14ac:dyDescent="0.25">
      <c r="A121" t="s">
        <v>14</v>
      </c>
      <c r="B121" t="s">
        <v>15</v>
      </c>
      <c r="C121" t="s">
        <v>257</v>
      </c>
      <c r="D121" t="s">
        <v>258</v>
      </c>
      <c r="E121">
        <v>155.15</v>
      </c>
      <c r="F121">
        <v>151.6</v>
      </c>
      <c r="G121">
        <v>153</v>
      </c>
      <c r="H121">
        <v>151.6</v>
      </c>
      <c r="I121">
        <v>153</v>
      </c>
      <c r="J121">
        <v>304600</v>
      </c>
      <c r="K121">
        <v>2000</v>
      </c>
      <c r="L121" t="s">
        <v>18</v>
      </c>
      <c r="M121">
        <v>267.89999999999998</v>
      </c>
      <c r="N121">
        <v>138</v>
      </c>
    </row>
    <row r="122" spans="1:14" x14ac:dyDescent="0.25">
      <c r="A122" t="s">
        <v>14</v>
      </c>
      <c r="B122" t="s">
        <v>15</v>
      </c>
      <c r="C122" t="s">
        <v>259</v>
      </c>
      <c r="D122" t="s">
        <v>260</v>
      </c>
      <c r="E122">
        <v>100</v>
      </c>
      <c r="F122">
        <v>100</v>
      </c>
      <c r="G122">
        <v>100</v>
      </c>
      <c r="H122">
        <v>98</v>
      </c>
      <c r="I122">
        <v>100</v>
      </c>
      <c r="J122">
        <v>1066440</v>
      </c>
      <c r="K122">
        <v>10800</v>
      </c>
      <c r="L122" t="s">
        <v>18</v>
      </c>
      <c r="M122">
        <v>123.5</v>
      </c>
      <c r="N122">
        <v>98</v>
      </c>
    </row>
    <row r="123" spans="1:14" x14ac:dyDescent="0.25">
      <c r="A123" t="s">
        <v>14</v>
      </c>
      <c r="B123" t="s">
        <v>15</v>
      </c>
      <c r="C123" t="s">
        <v>261</v>
      </c>
      <c r="D123" t="s">
        <v>262</v>
      </c>
      <c r="E123">
        <v>118</v>
      </c>
      <c r="F123">
        <v>118</v>
      </c>
      <c r="G123">
        <v>122.95</v>
      </c>
      <c r="H123">
        <v>117</v>
      </c>
      <c r="I123">
        <v>122.85</v>
      </c>
      <c r="J123">
        <v>1198840</v>
      </c>
      <c r="K123">
        <v>10000</v>
      </c>
      <c r="L123" t="s">
        <v>18</v>
      </c>
      <c r="M123">
        <v>316</v>
      </c>
      <c r="N123">
        <v>114.5</v>
      </c>
    </row>
    <row r="124" spans="1:14" x14ac:dyDescent="0.25">
      <c r="A124" t="s">
        <v>14</v>
      </c>
      <c r="B124" t="s">
        <v>15</v>
      </c>
      <c r="C124" t="s">
        <v>263</v>
      </c>
      <c r="D124" t="s">
        <v>264</v>
      </c>
      <c r="E124">
        <v>69</v>
      </c>
      <c r="F124">
        <v>68</v>
      </c>
      <c r="G124">
        <v>73</v>
      </c>
      <c r="H124">
        <v>68</v>
      </c>
      <c r="I124">
        <v>72</v>
      </c>
      <c r="J124">
        <v>1019680</v>
      </c>
      <c r="K124">
        <v>14400</v>
      </c>
      <c r="L124" t="s">
        <v>18</v>
      </c>
      <c r="M124">
        <v>135</v>
      </c>
      <c r="N124">
        <v>52</v>
      </c>
    </row>
    <row r="125" spans="1:14" x14ac:dyDescent="0.25">
      <c r="A125" t="s">
        <v>14</v>
      </c>
      <c r="B125" t="s">
        <v>15</v>
      </c>
      <c r="C125" t="s">
        <v>265</v>
      </c>
      <c r="D125" t="s">
        <v>266</v>
      </c>
      <c r="E125">
        <v>150.05000000000001</v>
      </c>
      <c r="F125">
        <v>150</v>
      </c>
      <c r="G125">
        <v>152</v>
      </c>
      <c r="H125">
        <v>148.25</v>
      </c>
      <c r="I125">
        <v>149.85</v>
      </c>
      <c r="J125">
        <v>2589966</v>
      </c>
      <c r="K125">
        <v>17280</v>
      </c>
      <c r="L125" t="s">
        <v>18</v>
      </c>
      <c r="M125">
        <v>625.45000000000005</v>
      </c>
      <c r="N125">
        <v>136.5</v>
      </c>
    </row>
    <row r="126" spans="1:14" x14ac:dyDescent="0.25">
      <c r="A126" t="s">
        <v>14</v>
      </c>
      <c r="B126" t="s">
        <v>33</v>
      </c>
      <c r="C126" t="s">
        <v>267</v>
      </c>
      <c r="D126" t="s">
        <v>268</v>
      </c>
      <c r="E126">
        <v>60.25</v>
      </c>
      <c r="F126">
        <v>62.2</v>
      </c>
      <c r="G126">
        <v>63.2</v>
      </c>
      <c r="H126">
        <v>62.2</v>
      </c>
      <c r="I126">
        <v>62.85</v>
      </c>
      <c r="J126">
        <v>500720</v>
      </c>
      <c r="K126">
        <v>8000</v>
      </c>
      <c r="L126" t="s">
        <v>18</v>
      </c>
      <c r="M126">
        <v>71.25</v>
      </c>
      <c r="N126">
        <v>36.9</v>
      </c>
    </row>
    <row r="127" spans="1:14" x14ac:dyDescent="0.25">
      <c r="A127" t="s">
        <v>14</v>
      </c>
      <c r="B127" t="s">
        <v>33</v>
      </c>
      <c r="C127" t="s">
        <v>269</v>
      </c>
      <c r="D127" t="s">
        <v>270</v>
      </c>
      <c r="E127">
        <v>216.7</v>
      </c>
      <c r="F127">
        <v>227.5</v>
      </c>
      <c r="G127">
        <v>227.5</v>
      </c>
      <c r="H127">
        <v>227.5</v>
      </c>
      <c r="I127">
        <v>227.5</v>
      </c>
      <c r="J127">
        <v>1092000</v>
      </c>
      <c r="K127">
        <v>4800</v>
      </c>
      <c r="L127" t="s">
        <v>18</v>
      </c>
      <c r="M127">
        <v>281.89999999999998</v>
      </c>
      <c r="N127">
        <v>104.5</v>
      </c>
    </row>
    <row r="128" spans="1:14" x14ac:dyDescent="0.25">
      <c r="A128" t="s">
        <v>14</v>
      </c>
      <c r="B128" t="s">
        <v>15</v>
      </c>
      <c r="C128" t="s">
        <v>271</v>
      </c>
      <c r="D128" t="s">
        <v>272</v>
      </c>
      <c r="E128">
        <v>14.45</v>
      </c>
      <c r="F128">
        <v>14.4</v>
      </c>
      <c r="G128">
        <v>14.45</v>
      </c>
      <c r="H128">
        <v>14.4</v>
      </c>
      <c r="I128">
        <v>14.45</v>
      </c>
      <c r="J128">
        <v>34620</v>
      </c>
      <c r="K128">
        <v>2400</v>
      </c>
      <c r="L128" t="s">
        <v>18</v>
      </c>
      <c r="M128">
        <v>46.9</v>
      </c>
      <c r="N128">
        <v>14.25</v>
      </c>
    </row>
    <row r="129" spans="1:14" x14ac:dyDescent="0.25">
      <c r="A129" t="s">
        <v>14</v>
      </c>
      <c r="B129" t="s">
        <v>15</v>
      </c>
      <c r="C129" t="s">
        <v>273</v>
      </c>
      <c r="D129" t="s">
        <v>274</v>
      </c>
      <c r="E129">
        <v>184.3</v>
      </c>
      <c r="F129">
        <v>178.05</v>
      </c>
      <c r="G129">
        <v>187.45</v>
      </c>
      <c r="H129">
        <v>176.05</v>
      </c>
      <c r="I129">
        <v>185.75</v>
      </c>
      <c r="J129">
        <v>5996375</v>
      </c>
      <c r="K129">
        <v>32500</v>
      </c>
      <c r="L129" t="s">
        <v>18</v>
      </c>
      <c r="M129">
        <v>220</v>
      </c>
      <c r="N129">
        <v>108</v>
      </c>
    </row>
    <row r="130" spans="1:14" x14ac:dyDescent="0.25">
      <c r="A130" t="s">
        <v>14</v>
      </c>
      <c r="B130" t="s">
        <v>15</v>
      </c>
      <c r="C130" t="s">
        <v>275</v>
      </c>
      <c r="D130" t="s">
        <v>276</v>
      </c>
      <c r="E130">
        <v>129.5</v>
      </c>
      <c r="F130">
        <v>133</v>
      </c>
      <c r="G130">
        <v>133</v>
      </c>
      <c r="H130">
        <v>132</v>
      </c>
      <c r="I130">
        <v>132</v>
      </c>
      <c r="J130">
        <v>265000</v>
      </c>
      <c r="K130">
        <v>2000</v>
      </c>
      <c r="L130" t="s">
        <v>18</v>
      </c>
      <c r="M130">
        <v>234</v>
      </c>
      <c r="N130">
        <v>109</v>
      </c>
    </row>
    <row r="131" spans="1:14" x14ac:dyDescent="0.25">
      <c r="A131" t="s">
        <v>14</v>
      </c>
      <c r="B131" t="s">
        <v>15</v>
      </c>
      <c r="C131" t="s">
        <v>277</v>
      </c>
      <c r="D131" t="s">
        <v>278</v>
      </c>
      <c r="E131">
        <v>121.35</v>
      </c>
      <c r="F131">
        <v>119.9</v>
      </c>
      <c r="G131">
        <v>124.4</v>
      </c>
      <c r="H131">
        <v>119</v>
      </c>
      <c r="I131">
        <v>119.2</v>
      </c>
      <c r="J131">
        <v>2564250</v>
      </c>
      <c r="K131">
        <v>21000</v>
      </c>
      <c r="L131" t="s">
        <v>18</v>
      </c>
      <c r="M131">
        <v>164.85</v>
      </c>
      <c r="N131">
        <v>104</v>
      </c>
    </row>
    <row r="132" spans="1:14" x14ac:dyDescent="0.25">
      <c r="A132" t="s">
        <v>14</v>
      </c>
      <c r="B132" t="s">
        <v>15</v>
      </c>
      <c r="C132" t="s">
        <v>279</v>
      </c>
      <c r="D132" t="s">
        <v>280</v>
      </c>
      <c r="E132">
        <v>403.05</v>
      </c>
      <c r="F132">
        <v>401.1</v>
      </c>
      <c r="G132">
        <v>423.2</v>
      </c>
      <c r="H132">
        <v>400</v>
      </c>
      <c r="I132">
        <v>423.2</v>
      </c>
      <c r="J132">
        <v>21221710</v>
      </c>
      <c r="K132">
        <v>50400</v>
      </c>
      <c r="L132" t="s">
        <v>18</v>
      </c>
      <c r="M132">
        <v>790</v>
      </c>
      <c r="N132">
        <v>375.05</v>
      </c>
    </row>
    <row r="133" spans="1:14" x14ac:dyDescent="0.25">
      <c r="A133" t="s">
        <v>14</v>
      </c>
      <c r="B133" t="s">
        <v>15</v>
      </c>
      <c r="C133" t="s">
        <v>281</v>
      </c>
      <c r="D133" t="s">
        <v>282</v>
      </c>
      <c r="E133">
        <v>187</v>
      </c>
      <c r="F133">
        <v>191.9</v>
      </c>
      <c r="G133">
        <v>200</v>
      </c>
      <c r="H133">
        <v>191.9</v>
      </c>
      <c r="I133">
        <v>200</v>
      </c>
      <c r="J133">
        <v>465510</v>
      </c>
      <c r="K133">
        <v>2400</v>
      </c>
      <c r="L133" t="s">
        <v>18</v>
      </c>
      <c r="M133">
        <v>248</v>
      </c>
      <c r="N133">
        <v>176</v>
      </c>
    </row>
    <row r="134" spans="1:14" x14ac:dyDescent="0.25">
      <c r="A134" t="s">
        <v>14</v>
      </c>
      <c r="B134" t="s">
        <v>33</v>
      </c>
      <c r="C134" t="s">
        <v>283</v>
      </c>
      <c r="D134" t="s">
        <v>284</v>
      </c>
      <c r="E134">
        <v>81.650000000000006</v>
      </c>
      <c r="F134">
        <v>80</v>
      </c>
      <c r="G134">
        <v>80</v>
      </c>
      <c r="H134">
        <v>80</v>
      </c>
      <c r="I134">
        <v>80</v>
      </c>
      <c r="J134">
        <v>80000</v>
      </c>
      <c r="K134">
        <v>1000</v>
      </c>
      <c r="L134" t="s">
        <v>18</v>
      </c>
      <c r="M134">
        <v>124.4</v>
      </c>
      <c r="N134">
        <v>68.849999999999994</v>
      </c>
    </row>
    <row r="135" spans="1:14" x14ac:dyDescent="0.25">
      <c r="A135" t="s">
        <v>14</v>
      </c>
      <c r="B135" t="s">
        <v>15</v>
      </c>
      <c r="C135" t="s">
        <v>285</v>
      </c>
      <c r="D135" t="s">
        <v>286</v>
      </c>
      <c r="E135">
        <v>115</v>
      </c>
      <c r="F135">
        <v>120.6</v>
      </c>
      <c r="G135">
        <v>120.6</v>
      </c>
      <c r="H135">
        <v>112.25</v>
      </c>
      <c r="I135">
        <v>112.4</v>
      </c>
      <c r="J135">
        <v>1672320</v>
      </c>
      <c r="K135">
        <v>14400</v>
      </c>
      <c r="L135" t="s">
        <v>18</v>
      </c>
      <c r="M135">
        <v>140</v>
      </c>
      <c r="N135">
        <v>65.05</v>
      </c>
    </row>
    <row r="136" spans="1:14" x14ac:dyDescent="0.25">
      <c r="A136" t="s">
        <v>14</v>
      </c>
      <c r="B136" t="s">
        <v>15</v>
      </c>
      <c r="C136" t="s">
        <v>287</v>
      </c>
      <c r="D136" t="s">
        <v>288</v>
      </c>
      <c r="E136">
        <v>102.75</v>
      </c>
      <c r="F136">
        <v>97.65</v>
      </c>
      <c r="G136">
        <v>97.65</v>
      </c>
      <c r="H136">
        <v>97.65</v>
      </c>
      <c r="I136">
        <v>97.65</v>
      </c>
      <c r="J136">
        <v>585900</v>
      </c>
      <c r="K136">
        <v>6000</v>
      </c>
      <c r="L136" t="s">
        <v>18</v>
      </c>
      <c r="M136">
        <v>175.5</v>
      </c>
      <c r="N136">
        <v>60</v>
      </c>
    </row>
    <row r="137" spans="1:14" x14ac:dyDescent="0.25">
      <c r="A137" t="s">
        <v>14</v>
      </c>
      <c r="B137" t="s">
        <v>15</v>
      </c>
      <c r="C137" t="s">
        <v>289</v>
      </c>
      <c r="D137" t="s">
        <v>290</v>
      </c>
      <c r="E137">
        <v>178.7</v>
      </c>
      <c r="F137">
        <v>179.8</v>
      </c>
      <c r="G137">
        <v>186.8</v>
      </c>
      <c r="H137">
        <v>177</v>
      </c>
      <c r="I137">
        <v>184</v>
      </c>
      <c r="J137">
        <v>25811670</v>
      </c>
      <c r="K137">
        <v>141000</v>
      </c>
      <c r="L137" t="s">
        <v>18</v>
      </c>
      <c r="M137">
        <v>221.95</v>
      </c>
      <c r="N137">
        <v>117.2</v>
      </c>
    </row>
    <row r="138" spans="1:14" x14ac:dyDescent="0.25">
      <c r="A138" t="s">
        <v>14</v>
      </c>
      <c r="B138" t="s">
        <v>15</v>
      </c>
      <c r="C138" t="s">
        <v>291</v>
      </c>
      <c r="D138" t="s">
        <v>292</v>
      </c>
      <c r="E138">
        <v>146.75</v>
      </c>
      <c r="F138">
        <v>144.9</v>
      </c>
      <c r="G138">
        <v>145</v>
      </c>
      <c r="H138">
        <v>140.9</v>
      </c>
      <c r="I138">
        <v>143.35</v>
      </c>
      <c r="J138">
        <v>1598100</v>
      </c>
      <c r="K138">
        <v>11200</v>
      </c>
      <c r="L138" t="s">
        <v>18</v>
      </c>
      <c r="M138">
        <v>449.9</v>
      </c>
      <c r="N138">
        <v>133</v>
      </c>
    </row>
    <row r="139" spans="1:14" x14ac:dyDescent="0.25">
      <c r="A139" t="s">
        <v>14</v>
      </c>
      <c r="B139" t="s">
        <v>15</v>
      </c>
      <c r="C139" t="s">
        <v>293</v>
      </c>
      <c r="D139" t="s">
        <v>294</v>
      </c>
      <c r="E139">
        <v>10.050000000000001</v>
      </c>
      <c r="F139">
        <v>9.4499999999999993</v>
      </c>
      <c r="G139">
        <v>9.9499999999999993</v>
      </c>
      <c r="H139">
        <v>9.4499999999999993</v>
      </c>
      <c r="I139">
        <v>9.9</v>
      </c>
      <c r="J139">
        <v>147150</v>
      </c>
      <c r="K139">
        <v>15000</v>
      </c>
      <c r="L139" t="s">
        <v>18</v>
      </c>
      <c r="M139">
        <v>17.5</v>
      </c>
      <c r="N139">
        <v>9</v>
      </c>
    </row>
    <row r="140" spans="1:14" x14ac:dyDescent="0.25">
      <c r="A140" t="s">
        <v>14</v>
      </c>
      <c r="B140" t="s">
        <v>33</v>
      </c>
      <c r="C140" t="s">
        <v>295</v>
      </c>
      <c r="D140" t="s">
        <v>296</v>
      </c>
      <c r="E140">
        <v>18.5</v>
      </c>
      <c r="F140">
        <v>17.600000000000001</v>
      </c>
      <c r="G140">
        <v>17.600000000000001</v>
      </c>
      <c r="H140">
        <v>17.600000000000001</v>
      </c>
      <c r="I140">
        <v>17.600000000000001</v>
      </c>
      <c r="J140">
        <v>35200</v>
      </c>
      <c r="K140">
        <v>2000</v>
      </c>
      <c r="L140" t="s">
        <v>18</v>
      </c>
      <c r="M140">
        <v>54</v>
      </c>
      <c r="N140">
        <v>17.5</v>
      </c>
    </row>
    <row r="141" spans="1:14" x14ac:dyDescent="0.25">
      <c r="A141" t="s">
        <v>14</v>
      </c>
      <c r="B141" t="s">
        <v>15</v>
      </c>
      <c r="C141" t="s">
        <v>297</v>
      </c>
      <c r="D141" t="s">
        <v>298</v>
      </c>
      <c r="E141">
        <v>254.3</v>
      </c>
      <c r="F141">
        <v>256</v>
      </c>
      <c r="G141">
        <v>258.5</v>
      </c>
      <c r="H141">
        <v>223.3</v>
      </c>
      <c r="I141">
        <v>234.35</v>
      </c>
      <c r="J141">
        <v>10357845</v>
      </c>
      <c r="K141">
        <v>42900</v>
      </c>
      <c r="L141" t="s">
        <v>18</v>
      </c>
      <c r="M141">
        <v>555</v>
      </c>
      <c r="N141">
        <v>223.3</v>
      </c>
    </row>
    <row r="142" spans="1:14" x14ac:dyDescent="0.25">
      <c r="A142" t="s">
        <v>14</v>
      </c>
      <c r="B142" t="s">
        <v>15</v>
      </c>
      <c r="C142" t="s">
        <v>299</v>
      </c>
      <c r="D142" t="s">
        <v>300</v>
      </c>
      <c r="E142">
        <v>98.3</v>
      </c>
      <c r="F142">
        <v>103.2</v>
      </c>
      <c r="G142">
        <v>103.2</v>
      </c>
      <c r="H142">
        <v>103.2</v>
      </c>
      <c r="I142">
        <v>103.2</v>
      </c>
      <c r="J142">
        <v>3384960</v>
      </c>
      <c r="K142">
        <v>32800</v>
      </c>
      <c r="L142" t="s">
        <v>18</v>
      </c>
      <c r="M142">
        <v>279.8</v>
      </c>
      <c r="N142">
        <v>83.4</v>
      </c>
    </row>
    <row r="143" spans="1:14" x14ac:dyDescent="0.25">
      <c r="A143" t="s">
        <v>14</v>
      </c>
      <c r="B143" t="s">
        <v>15</v>
      </c>
      <c r="C143" t="s">
        <v>301</v>
      </c>
      <c r="D143" t="s">
        <v>302</v>
      </c>
      <c r="E143">
        <v>18.899999999999999</v>
      </c>
      <c r="F143">
        <v>18.899999999999999</v>
      </c>
      <c r="G143">
        <v>18.899999999999999</v>
      </c>
      <c r="H143">
        <v>18.399999999999999</v>
      </c>
      <c r="I143">
        <v>18.45</v>
      </c>
      <c r="J143">
        <v>895200</v>
      </c>
      <c r="K143">
        <v>48000</v>
      </c>
      <c r="L143" t="s">
        <v>18</v>
      </c>
      <c r="M143">
        <v>59</v>
      </c>
      <c r="N143">
        <v>18.25</v>
      </c>
    </row>
    <row r="144" spans="1:14" x14ac:dyDescent="0.25">
      <c r="A144" t="s">
        <v>14</v>
      </c>
      <c r="B144" t="s">
        <v>15</v>
      </c>
      <c r="C144" t="s">
        <v>303</v>
      </c>
      <c r="D144" t="s">
        <v>304</v>
      </c>
      <c r="E144">
        <v>338.7</v>
      </c>
      <c r="F144">
        <v>338.7</v>
      </c>
      <c r="G144">
        <v>355.6</v>
      </c>
      <c r="H144">
        <v>338.7</v>
      </c>
      <c r="I144">
        <v>355.2</v>
      </c>
      <c r="J144">
        <v>524475</v>
      </c>
      <c r="K144">
        <v>1500</v>
      </c>
      <c r="L144" t="s">
        <v>18</v>
      </c>
      <c r="M144">
        <v>525.25</v>
      </c>
      <c r="N144">
        <v>306.64999999999998</v>
      </c>
    </row>
    <row r="145" spans="1:14" x14ac:dyDescent="0.25">
      <c r="A145" t="s">
        <v>14</v>
      </c>
      <c r="B145" t="s">
        <v>15</v>
      </c>
      <c r="C145" t="s">
        <v>305</v>
      </c>
      <c r="D145" t="s">
        <v>306</v>
      </c>
      <c r="E145">
        <v>122.95</v>
      </c>
      <c r="F145">
        <v>120</v>
      </c>
      <c r="G145">
        <v>128.9</v>
      </c>
      <c r="H145">
        <v>111.3</v>
      </c>
      <c r="I145">
        <v>115</v>
      </c>
      <c r="J145">
        <v>800962.5</v>
      </c>
      <c r="K145">
        <v>6750</v>
      </c>
      <c r="L145" t="s">
        <v>18</v>
      </c>
      <c r="M145">
        <v>159.69999999999999</v>
      </c>
      <c r="N145">
        <v>93.1</v>
      </c>
    </row>
    <row r="146" spans="1:14" x14ac:dyDescent="0.25">
      <c r="A146" t="s">
        <v>14</v>
      </c>
      <c r="B146" t="s">
        <v>33</v>
      </c>
      <c r="C146" t="s">
        <v>307</v>
      </c>
      <c r="D146" t="s">
        <v>308</v>
      </c>
      <c r="E146">
        <v>44.9</v>
      </c>
      <c r="F146">
        <v>44.8</v>
      </c>
      <c r="G146">
        <v>45.2</v>
      </c>
      <c r="H146">
        <v>43.5</v>
      </c>
      <c r="I146">
        <v>44.05</v>
      </c>
      <c r="J146">
        <v>6515250</v>
      </c>
      <c r="K146">
        <v>147000</v>
      </c>
      <c r="L146" t="s">
        <v>18</v>
      </c>
      <c r="M146">
        <v>179</v>
      </c>
      <c r="N146">
        <v>40</v>
      </c>
    </row>
    <row r="147" spans="1:14" x14ac:dyDescent="0.25">
      <c r="A147" t="s">
        <v>14</v>
      </c>
      <c r="B147" t="s">
        <v>33</v>
      </c>
      <c r="C147" t="s">
        <v>309</v>
      </c>
      <c r="D147" t="s">
        <v>310</v>
      </c>
      <c r="E147">
        <v>16</v>
      </c>
      <c r="F147">
        <v>16.8</v>
      </c>
      <c r="G147">
        <v>16.8</v>
      </c>
      <c r="H147">
        <v>16.100000000000001</v>
      </c>
      <c r="I147">
        <v>16.8</v>
      </c>
      <c r="J147">
        <v>251150</v>
      </c>
      <c r="K147">
        <v>15000</v>
      </c>
      <c r="L147" t="s">
        <v>18</v>
      </c>
      <c r="M147">
        <v>31.75</v>
      </c>
      <c r="N147">
        <v>5.95</v>
      </c>
    </row>
    <row r="148" spans="1:14" x14ac:dyDescent="0.25">
      <c r="A148" t="s">
        <v>14</v>
      </c>
      <c r="B148" t="s">
        <v>15</v>
      </c>
      <c r="C148" t="s">
        <v>311</v>
      </c>
      <c r="D148" t="s">
        <v>312</v>
      </c>
      <c r="E148">
        <v>4.7</v>
      </c>
      <c r="F148">
        <v>4.7</v>
      </c>
      <c r="G148">
        <v>4.8499999999999996</v>
      </c>
      <c r="H148">
        <v>4.5</v>
      </c>
      <c r="I148">
        <v>4.5</v>
      </c>
      <c r="J148">
        <v>361125</v>
      </c>
      <c r="K148">
        <v>78750</v>
      </c>
      <c r="L148" t="s">
        <v>18</v>
      </c>
      <c r="M148">
        <v>13.5</v>
      </c>
      <c r="N148">
        <v>4.5</v>
      </c>
    </row>
    <row r="149" spans="1:14" x14ac:dyDescent="0.25">
      <c r="A149" t="s">
        <v>14</v>
      </c>
      <c r="B149" t="s">
        <v>15</v>
      </c>
      <c r="C149" t="s">
        <v>313</v>
      </c>
      <c r="D149" t="s">
        <v>314</v>
      </c>
      <c r="E149">
        <v>143.30000000000001</v>
      </c>
      <c r="F149">
        <v>144</v>
      </c>
      <c r="G149">
        <v>144</v>
      </c>
      <c r="H149">
        <v>144</v>
      </c>
      <c r="I149">
        <v>144</v>
      </c>
      <c r="J149">
        <v>86400</v>
      </c>
      <c r="K149">
        <v>600</v>
      </c>
      <c r="L149" t="s">
        <v>18</v>
      </c>
      <c r="M149">
        <v>204</v>
      </c>
      <c r="N149">
        <v>124.5</v>
      </c>
    </row>
    <row r="150" spans="1:14" x14ac:dyDescent="0.25">
      <c r="A150" t="s">
        <v>14</v>
      </c>
      <c r="B150" t="s">
        <v>15</v>
      </c>
      <c r="C150" t="s">
        <v>315</v>
      </c>
      <c r="D150" t="s">
        <v>316</v>
      </c>
      <c r="E150">
        <v>333.55</v>
      </c>
      <c r="F150">
        <v>336</v>
      </c>
      <c r="G150">
        <v>343.55</v>
      </c>
      <c r="H150">
        <v>322</v>
      </c>
      <c r="I150">
        <v>325</v>
      </c>
      <c r="J150">
        <v>6110340</v>
      </c>
      <c r="K150">
        <v>18600</v>
      </c>
      <c r="L150" t="s">
        <v>18</v>
      </c>
      <c r="M150">
        <v>616.5</v>
      </c>
      <c r="N150">
        <v>230</v>
      </c>
    </row>
    <row r="151" spans="1:14" x14ac:dyDescent="0.25">
      <c r="A151" t="s">
        <v>14</v>
      </c>
      <c r="B151" t="s">
        <v>15</v>
      </c>
      <c r="C151" t="s">
        <v>317</v>
      </c>
      <c r="D151" t="s">
        <v>318</v>
      </c>
      <c r="E151">
        <v>143</v>
      </c>
      <c r="F151">
        <v>142</v>
      </c>
      <c r="G151">
        <v>142.9</v>
      </c>
      <c r="H151">
        <v>135.1</v>
      </c>
      <c r="I151">
        <v>138.25</v>
      </c>
      <c r="J151">
        <v>2097810</v>
      </c>
      <c r="K151">
        <v>15000</v>
      </c>
      <c r="L151" t="s">
        <v>18</v>
      </c>
      <c r="M151">
        <v>255</v>
      </c>
      <c r="N151">
        <v>101.9</v>
      </c>
    </row>
    <row r="152" spans="1:14" x14ac:dyDescent="0.25">
      <c r="A152" t="s">
        <v>14</v>
      </c>
      <c r="B152" t="s">
        <v>15</v>
      </c>
      <c r="C152" t="s">
        <v>319</v>
      </c>
      <c r="D152" t="s">
        <v>320</v>
      </c>
      <c r="E152">
        <v>47.75</v>
      </c>
      <c r="F152">
        <v>48.55</v>
      </c>
      <c r="G152">
        <v>48.6</v>
      </c>
      <c r="H152">
        <v>45.7</v>
      </c>
      <c r="I152">
        <v>47.85</v>
      </c>
      <c r="J152">
        <v>4002600</v>
      </c>
      <c r="K152">
        <v>85200</v>
      </c>
      <c r="L152" t="s">
        <v>18</v>
      </c>
      <c r="M152">
        <v>58.2</v>
      </c>
      <c r="N152">
        <v>30.4</v>
      </c>
    </row>
    <row r="153" spans="1:14" x14ac:dyDescent="0.25">
      <c r="A153" t="s">
        <v>14</v>
      </c>
      <c r="B153" t="s">
        <v>15</v>
      </c>
      <c r="C153" t="s">
        <v>321</v>
      </c>
      <c r="D153" t="s">
        <v>322</v>
      </c>
      <c r="E153">
        <v>47</v>
      </c>
      <c r="F153">
        <v>46.7</v>
      </c>
      <c r="G153">
        <v>46.7</v>
      </c>
      <c r="H153">
        <v>44</v>
      </c>
      <c r="I153">
        <v>44.65</v>
      </c>
      <c r="J153">
        <v>1648200</v>
      </c>
      <c r="K153">
        <v>36800</v>
      </c>
      <c r="L153" t="s">
        <v>18</v>
      </c>
      <c r="M153">
        <v>80</v>
      </c>
      <c r="N153">
        <v>44</v>
      </c>
    </row>
    <row r="154" spans="1:14" x14ac:dyDescent="0.25">
      <c r="A154" t="s">
        <v>14</v>
      </c>
      <c r="B154" t="s">
        <v>15</v>
      </c>
      <c r="C154" t="s">
        <v>323</v>
      </c>
      <c r="D154" t="s">
        <v>324</v>
      </c>
      <c r="E154">
        <v>138.05000000000001</v>
      </c>
      <c r="F154">
        <v>138.85</v>
      </c>
      <c r="G154">
        <v>139</v>
      </c>
      <c r="H154">
        <v>137.9</v>
      </c>
      <c r="I154">
        <v>139</v>
      </c>
      <c r="J154">
        <v>830650</v>
      </c>
      <c r="K154">
        <v>6000</v>
      </c>
      <c r="L154" t="s">
        <v>18</v>
      </c>
      <c r="M154">
        <v>185.9</v>
      </c>
      <c r="N154">
        <v>111</v>
      </c>
    </row>
    <row r="155" spans="1:14" x14ac:dyDescent="0.25">
      <c r="A155" t="s">
        <v>14</v>
      </c>
      <c r="B155" t="s">
        <v>15</v>
      </c>
      <c r="C155" t="s">
        <v>325</v>
      </c>
      <c r="D155" t="s">
        <v>326</v>
      </c>
      <c r="E155">
        <v>197</v>
      </c>
      <c r="F155">
        <v>204</v>
      </c>
      <c r="G155">
        <v>206.5</v>
      </c>
      <c r="H155">
        <v>204</v>
      </c>
      <c r="I155">
        <v>206</v>
      </c>
      <c r="J155">
        <v>925875</v>
      </c>
      <c r="K155">
        <v>4500</v>
      </c>
      <c r="L155" t="s">
        <v>18</v>
      </c>
      <c r="M155">
        <v>263.39999999999998</v>
      </c>
      <c r="N155">
        <v>180.5</v>
      </c>
    </row>
    <row r="156" spans="1:14" x14ac:dyDescent="0.25">
      <c r="A156" t="s">
        <v>14</v>
      </c>
      <c r="B156" t="s">
        <v>15</v>
      </c>
      <c r="C156" t="s">
        <v>327</v>
      </c>
      <c r="D156" t="s">
        <v>328</v>
      </c>
      <c r="E156">
        <v>116.5</v>
      </c>
      <c r="F156">
        <v>120.7</v>
      </c>
      <c r="G156">
        <v>120.7</v>
      </c>
      <c r="H156">
        <v>120.7</v>
      </c>
      <c r="I156">
        <v>120.7</v>
      </c>
      <c r="J156">
        <v>144840</v>
      </c>
      <c r="K156">
        <v>1200</v>
      </c>
      <c r="L156" t="s">
        <v>18</v>
      </c>
      <c r="M156">
        <v>154</v>
      </c>
      <c r="N156">
        <v>82.3</v>
      </c>
    </row>
    <row r="157" spans="1:14" x14ac:dyDescent="0.25">
      <c r="A157" t="s">
        <v>14</v>
      </c>
      <c r="B157" t="s">
        <v>15</v>
      </c>
      <c r="C157" t="s">
        <v>329</v>
      </c>
      <c r="D157" t="s">
        <v>330</v>
      </c>
      <c r="E157">
        <v>200</v>
      </c>
      <c r="F157">
        <v>200</v>
      </c>
      <c r="G157">
        <v>202</v>
      </c>
      <c r="H157">
        <v>200</v>
      </c>
      <c r="I157">
        <v>200.65</v>
      </c>
      <c r="J157">
        <v>801500</v>
      </c>
      <c r="K157">
        <v>4000</v>
      </c>
      <c r="L157" t="s">
        <v>18</v>
      </c>
      <c r="M157">
        <v>255.15</v>
      </c>
      <c r="N157">
        <v>110.7</v>
      </c>
    </row>
    <row r="158" spans="1:14" x14ac:dyDescent="0.25">
      <c r="A158" t="s">
        <v>14</v>
      </c>
      <c r="B158" t="s">
        <v>15</v>
      </c>
      <c r="C158" t="s">
        <v>331</v>
      </c>
      <c r="D158" t="s">
        <v>332</v>
      </c>
      <c r="E158">
        <v>31.5</v>
      </c>
      <c r="F158">
        <v>31.5</v>
      </c>
      <c r="G158">
        <v>31.5</v>
      </c>
      <c r="H158">
        <v>29.95</v>
      </c>
      <c r="I158">
        <v>30.05</v>
      </c>
      <c r="J158">
        <v>242880</v>
      </c>
      <c r="K158">
        <v>8000</v>
      </c>
      <c r="L158" t="s">
        <v>18</v>
      </c>
      <c r="M158">
        <v>60</v>
      </c>
      <c r="N158">
        <v>27</v>
      </c>
    </row>
    <row r="159" spans="1:14" x14ac:dyDescent="0.25">
      <c r="A159" t="s">
        <v>14</v>
      </c>
      <c r="B159" t="s">
        <v>15</v>
      </c>
      <c r="C159" t="s">
        <v>333</v>
      </c>
      <c r="D159" t="s">
        <v>334</v>
      </c>
      <c r="E159">
        <v>50</v>
      </c>
      <c r="F159">
        <v>50</v>
      </c>
      <c r="G159">
        <v>50</v>
      </c>
      <c r="H159">
        <v>50</v>
      </c>
      <c r="I159">
        <v>50</v>
      </c>
      <c r="J159">
        <v>80000</v>
      </c>
      <c r="K159">
        <v>1600</v>
      </c>
      <c r="L159" t="s">
        <v>18</v>
      </c>
      <c r="M159">
        <v>94.8</v>
      </c>
      <c r="N159">
        <v>49</v>
      </c>
    </row>
    <row r="160" spans="1:14" x14ac:dyDescent="0.25">
      <c r="A160" t="s">
        <v>14</v>
      </c>
      <c r="B160" t="s">
        <v>15</v>
      </c>
      <c r="C160" t="s">
        <v>335</v>
      </c>
      <c r="D160" t="s">
        <v>336</v>
      </c>
      <c r="E160">
        <v>141.75</v>
      </c>
      <c r="F160">
        <v>140.5</v>
      </c>
      <c r="G160">
        <v>141</v>
      </c>
      <c r="H160">
        <v>133.5</v>
      </c>
      <c r="I160">
        <v>140.6</v>
      </c>
      <c r="J160">
        <v>2885920</v>
      </c>
      <c r="K160">
        <v>20800</v>
      </c>
      <c r="L160" t="s">
        <v>18</v>
      </c>
      <c r="M160">
        <v>320.89999999999998</v>
      </c>
      <c r="N160">
        <v>125</v>
      </c>
    </row>
    <row r="161" spans="1:14" x14ac:dyDescent="0.25">
      <c r="A161" t="s">
        <v>14</v>
      </c>
      <c r="B161" t="s">
        <v>33</v>
      </c>
      <c r="C161" t="s">
        <v>337</v>
      </c>
      <c r="D161" t="s">
        <v>338</v>
      </c>
      <c r="E161">
        <v>305.55</v>
      </c>
      <c r="F161">
        <v>302.5</v>
      </c>
      <c r="G161">
        <v>302.5</v>
      </c>
      <c r="H161">
        <v>302.5</v>
      </c>
      <c r="I161">
        <v>302.5</v>
      </c>
      <c r="J161">
        <v>226875</v>
      </c>
      <c r="K161">
        <v>750</v>
      </c>
      <c r="L161" t="s">
        <v>18</v>
      </c>
      <c r="M161">
        <v>380</v>
      </c>
      <c r="N161">
        <v>112</v>
      </c>
    </row>
    <row r="162" spans="1:14" x14ac:dyDescent="0.25">
      <c r="A162" t="s">
        <v>14</v>
      </c>
      <c r="B162" t="s">
        <v>15</v>
      </c>
      <c r="C162" t="s">
        <v>339</v>
      </c>
      <c r="D162" t="s">
        <v>340</v>
      </c>
      <c r="E162">
        <v>171</v>
      </c>
      <c r="F162">
        <v>162.44999999999999</v>
      </c>
      <c r="G162">
        <v>162.44999999999999</v>
      </c>
      <c r="H162">
        <v>162.44999999999999</v>
      </c>
      <c r="I162">
        <v>162.44999999999999</v>
      </c>
      <c r="J162">
        <v>48735</v>
      </c>
      <c r="K162">
        <v>300</v>
      </c>
      <c r="L162" t="s">
        <v>18</v>
      </c>
      <c r="M162">
        <v>508</v>
      </c>
      <c r="N162">
        <v>158</v>
      </c>
    </row>
    <row r="163" spans="1:14" x14ac:dyDescent="0.25">
      <c r="A163" t="s">
        <v>14</v>
      </c>
      <c r="B163" t="s">
        <v>15</v>
      </c>
      <c r="C163" t="s">
        <v>341</v>
      </c>
      <c r="D163" t="s">
        <v>342</v>
      </c>
      <c r="E163">
        <v>261.89999999999998</v>
      </c>
      <c r="F163">
        <v>267</v>
      </c>
      <c r="G163">
        <v>267</v>
      </c>
      <c r="H163">
        <v>267</v>
      </c>
      <c r="I163">
        <v>267</v>
      </c>
      <c r="J163">
        <v>160200</v>
      </c>
      <c r="K163">
        <v>600</v>
      </c>
      <c r="L163" t="s">
        <v>18</v>
      </c>
      <c r="M163">
        <v>327.39999999999998</v>
      </c>
      <c r="N163">
        <v>101.05</v>
      </c>
    </row>
    <row r="164" spans="1:14" x14ac:dyDescent="0.25">
      <c r="A164" t="s">
        <v>14</v>
      </c>
      <c r="B164" t="s">
        <v>15</v>
      </c>
      <c r="C164" t="s">
        <v>343</v>
      </c>
      <c r="D164" t="s">
        <v>344</v>
      </c>
      <c r="E164">
        <v>32.799999999999997</v>
      </c>
      <c r="F164">
        <v>31.2</v>
      </c>
      <c r="G164">
        <v>31.2</v>
      </c>
      <c r="H164">
        <v>31.2</v>
      </c>
      <c r="I164">
        <v>31.2</v>
      </c>
      <c r="J164">
        <v>140400</v>
      </c>
      <c r="K164">
        <v>4500</v>
      </c>
      <c r="L164" t="s">
        <v>18</v>
      </c>
      <c r="M164">
        <v>87.15</v>
      </c>
      <c r="N164">
        <v>25.3</v>
      </c>
    </row>
    <row r="165" spans="1:14" x14ac:dyDescent="0.25">
      <c r="A165" t="s">
        <v>14</v>
      </c>
      <c r="B165" t="s">
        <v>15</v>
      </c>
      <c r="C165" t="s">
        <v>345</v>
      </c>
      <c r="D165" t="s">
        <v>346</v>
      </c>
      <c r="E165">
        <v>196</v>
      </c>
      <c r="F165">
        <v>191</v>
      </c>
      <c r="G165">
        <v>199</v>
      </c>
      <c r="H165">
        <v>191</v>
      </c>
      <c r="I165">
        <v>199</v>
      </c>
      <c r="J165">
        <v>390000</v>
      </c>
      <c r="K165">
        <v>2000</v>
      </c>
      <c r="L165" t="s">
        <v>18</v>
      </c>
      <c r="M165">
        <v>221</v>
      </c>
      <c r="N165">
        <v>119.2</v>
      </c>
    </row>
    <row r="166" spans="1:14" x14ac:dyDescent="0.25">
      <c r="A166" t="s">
        <v>14</v>
      </c>
      <c r="B166" t="s">
        <v>15</v>
      </c>
      <c r="C166" t="s">
        <v>347</v>
      </c>
      <c r="D166" t="s">
        <v>348</v>
      </c>
      <c r="E166">
        <v>18.75</v>
      </c>
      <c r="F166">
        <v>18.75</v>
      </c>
      <c r="G166">
        <v>18.75</v>
      </c>
      <c r="H166">
        <v>18.149999999999999</v>
      </c>
      <c r="I166">
        <v>18.149999999999999</v>
      </c>
      <c r="J166">
        <v>296800</v>
      </c>
      <c r="K166">
        <v>16000</v>
      </c>
      <c r="L166" t="s">
        <v>18</v>
      </c>
      <c r="M166">
        <v>56.65</v>
      </c>
      <c r="N166">
        <v>17.05</v>
      </c>
    </row>
    <row r="167" spans="1:14" x14ac:dyDescent="0.25">
      <c r="A167" t="s">
        <v>14</v>
      </c>
      <c r="B167" t="s">
        <v>15</v>
      </c>
      <c r="C167" t="s">
        <v>349</v>
      </c>
      <c r="D167" t="s">
        <v>350</v>
      </c>
      <c r="E167">
        <v>75.3</v>
      </c>
      <c r="F167">
        <v>76.95</v>
      </c>
      <c r="G167">
        <v>76.95</v>
      </c>
      <c r="H167">
        <v>73</v>
      </c>
      <c r="I167">
        <v>74.8</v>
      </c>
      <c r="J167">
        <v>2552900</v>
      </c>
      <c r="K167">
        <v>34000</v>
      </c>
      <c r="L167" t="s">
        <v>18</v>
      </c>
      <c r="M167">
        <v>211.95</v>
      </c>
      <c r="N167">
        <v>72.55</v>
      </c>
    </row>
    <row r="168" spans="1:14" x14ac:dyDescent="0.25">
      <c r="A168" t="s">
        <v>14</v>
      </c>
      <c r="B168" t="s">
        <v>15</v>
      </c>
      <c r="C168" t="s">
        <v>351</v>
      </c>
      <c r="D168" t="s">
        <v>352</v>
      </c>
      <c r="E168">
        <v>58</v>
      </c>
      <c r="F168">
        <v>57.5</v>
      </c>
      <c r="G168">
        <v>58</v>
      </c>
      <c r="H168">
        <v>57.5</v>
      </c>
      <c r="I168">
        <v>58</v>
      </c>
      <c r="J168">
        <v>277200</v>
      </c>
      <c r="K168">
        <v>4800</v>
      </c>
      <c r="L168" t="s">
        <v>18</v>
      </c>
      <c r="M168">
        <v>78.25</v>
      </c>
      <c r="N168">
        <v>42.4</v>
      </c>
    </row>
    <row r="169" spans="1:14" x14ac:dyDescent="0.25">
      <c r="A169" t="s">
        <v>14</v>
      </c>
      <c r="B169" t="s">
        <v>15</v>
      </c>
      <c r="C169" t="s">
        <v>353</v>
      </c>
      <c r="D169" t="s">
        <v>354</v>
      </c>
      <c r="E169">
        <v>219.7</v>
      </c>
      <c r="F169">
        <v>218.5</v>
      </c>
      <c r="G169">
        <v>218.5</v>
      </c>
      <c r="H169">
        <v>216.3</v>
      </c>
      <c r="I169">
        <v>216.3</v>
      </c>
      <c r="J169">
        <v>217400</v>
      </c>
      <c r="K169">
        <v>1000</v>
      </c>
      <c r="L169" t="s">
        <v>18</v>
      </c>
      <c r="M169">
        <v>337</v>
      </c>
      <c r="N169">
        <v>210</v>
      </c>
    </row>
    <row r="170" spans="1:14" x14ac:dyDescent="0.25">
      <c r="A170" t="s">
        <v>14</v>
      </c>
      <c r="B170" t="s">
        <v>15</v>
      </c>
      <c r="C170" t="s">
        <v>355</v>
      </c>
      <c r="D170" t="s">
        <v>356</v>
      </c>
      <c r="E170">
        <v>207.2</v>
      </c>
      <c r="F170">
        <v>210</v>
      </c>
      <c r="G170">
        <v>225</v>
      </c>
      <c r="H170">
        <v>207.5</v>
      </c>
      <c r="I170">
        <v>217.05</v>
      </c>
      <c r="J170">
        <v>5454930</v>
      </c>
      <c r="K170">
        <v>25200</v>
      </c>
      <c r="L170" t="s">
        <v>18</v>
      </c>
      <c r="M170">
        <v>261.95</v>
      </c>
      <c r="N170">
        <v>120</v>
      </c>
    </row>
    <row r="171" spans="1:14" x14ac:dyDescent="0.25">
      <c r="A171" t="s">
        <v>14</v>
      </c>
      <c r="B171" t="s">
        <v>15</v>
      </c>
      <c r="C171" t="s">
        <v>357</v>
      </c>
      <c r="D171" t="s">
        <v>358</v>
      </c>
      <c r="E171">
        <v>360.7</v>
      </c>
      <c r="F171">
        <v>360</v>
      </c>
      <c r="G171">
        <v>374</v>
      </c>
      <c r="H171">
        <v>356</v>
      </c>
      <c r="I171">
        <v>356.3</v>
      </c>
      <c r="J171">
        <v>2589180</v>
      </c>
      <c r="K171">
        <v>7200</v>
      </c>
      <c r="L171" t="s">
        <v>18</v>
      </c>
      <c r="M171">
        <v>575</v>
      </c>
      <c r="N171">
        <v>325.5</v>
      </c>
    </row>
    <row r="172" spans="1:14" x14ac:dyDescent="0.25">
      <c r="A172" t="s">
        <v>14</v>
      </c>
      <c r="B172" t="s">
        <v>15</v>
      </c>
      <c r="C172" t="s">
        <v>359</v>
      </c>
      <c r="D172" t="s">
        <v>360</v>
      </c>
      <c r="E172">
        <v>81</v>
      </c>
      <c r="F172">
        <v>80</v>
      </c>
      <c r="G172">
        <v>80</v>
      </c>
      <c r="H172">
        <v>75.599999999999994</v>
      </c>
      <c r="I172">
        <v>78</v>
      </c>
      <c r="J172">
        <v>371880</v>
      </c>
      <c r="K172">
        <v>4800</v>
      </c>
      <c r="L172" t="s">
        <v>18</v>
      </c>
      <c r="M172">
        <v>216</v>
      </c>
      <c r="N172">
        <v>75.099999999999994</v>
      </c>
    </row>
    <row r="173" spans="1:14" x14ac:dyDescent="0.25">
      <c r="A173" t="s">
        <v>14</v>
      </c>
      <c r="B173" t="s">
        <v>33</v>
      </c>
      <c r="C173" t="s">
        <v>361</v>
      </c>
      <c r="D173" t="s">
        <v>362</v>
      </c>
      <c r="E173">
        <v>81.7</v>
      </c>
      <c r="F173">
        <v>80.099999999999994</v>
      </c>
      <c r="G173">
        <v>80.2</v>
      </c>
      <c r="H173">
        <v>80.099999999999994</v>
      </c>
      <c r="I173">
        <v>80.2</v>
      </c>
      <c r="J173">
        <v>50473.5</v>
      </c>
      <c r="K173">
        <v>630</v>
      </c>
      <c r="L173" t="s">
        <v>18</v>
      </c>
      <c r="M173">
        <v>152.4</v>
      </c>
      <c r="N173">
        <v>27.7</v>
      </c>
    </row>
    <row r="174" spans="1:14" x14ac:dyDescent="0.25">
      <c r="A174" t="s">
        <v>14</v>
      </c>
      <c r="B174" t="s">
        <v>15</v>
      </c>
      <c r="C174" t="s">
        <v>363</v>
      </c>
      <c r="D174" t="s">
        <v>364</v>
      </c>
      <c r="E174">
        <v>9.85</v>
      </c>
      <c r="F174">
        <v>9.85</v>
      </c>
      <c r="G174">
        <v>10.9</v>
      </c>
      <c r="H174">
        <v>9.85</v>
      </c>
      <c r="I174">
        <v>10.3</v>
      </c>
      <c r="J174">
        <v>182300</v>
      </c>
      <c r="K174">
        <v>18000</v>
      </c>
      <c r="L174" t="s">
        <v>18</v>
      </c>
      <c r="M174">
        <v>28.25</v>
      </c>
      <c r="N174">
        <v>9.5</v>
      </c>
    </row>
    <row r="175" spans="1:14" x14ac:dyDescent="0.25">
      <c r="A175" t="s">
        <v>14</v>
      </c>
      <c r="B175" t="s">
        <v>15</v>
      </c>
      <c r="C175" t="s">
        <v>365</v>
      </c>
      <c r="D175" t="s">
        <v>366</v>
      </c>
      <c r="E175">
        <v>273.89999999999998</v>
      </c>
      <c r="F175">
        <v>260</v>
      </c>
      <c r="G175">
        <v>279</v>
      </c>
      <c r="H175">
        <v>260</v>
      </c>
      <c r="I175">
        <v>279</v>
      </c>
      <c r="J175">
        <v>269500</v>
      </c>
      <c r="K175">
        <v>1000</v>
      </c>
      <c r="L175" t="s">
        <v>18</v>
      </c>
      <c r="M175">
        <v>398</v>
      </c>
      <c r="N175">
        <v>240.05</v>
      </c>
    </row>
    <row r="176" spans="1:14" x14ac:dyDescent="0.25">
      <c r="A176" t="s">
        <v>14</v>
      </c>
      <c r="B176" t="s">
        <v>15</v>
      </c>
      <c r="C176" t="s">
        <v>367</v>
      </c>
      <c r="D176" t="s">
        <v>368</v>
      </c>
      <c r="E176">
        <v>207</v>
      </c>
      <c r="F176">
        <v>182.6</v>
      </c>
      <c r="G176">
        <v>199</v>
      </c>
      <c r="H176">
        <v>182.6</v>
      </c>
      <c r="I176">
        <v>194.45</v>
      </c>
      <c r="J176">
        <v>3591930</v>
      </c>
      <c r="K176">
        <v>18600</v>
      </c>
      <c r="L176" t="s">
        <v>18</v>
      </c>
      <c r="M176">
        <v>689</v>
      </c>
      <c r="N176">
        <v>182.6</v>
      </c>
    </row>
    <row r="177" spans="1:14" x14ac:dyDescent="0.25">
      <c r="A177" t="s">
        <v>14</v>
      </c>
      <c r="B177" t="s">
        <v>15</v>
      </c>
      <c r="C177" t="s">
        <v>369</v>
      </c>
      <c r="D177" t="s">
        <v>370</v>
      </c>
      <c r="E177">
        <v>63</v>
      </c>
      <c r="F177">
        <v>61.1</v>
      </c>
      <c r="G177">
        <v>64.45</v>
      </c>
      <c r="H177">
        <v>61.1</v>
      </c>
      <c r="I177">
        <v>64.45</v>
      </c>
      <c r="J177">
        <v>401280</v>
      </c>
      <c r="K177">
        <v>6400</v>
      </c>
      <c r="L177" t="s">
        <v>18</v>
      </c>
      <c r="M177">
        <v>105</v>
      </c>
      <c r="N177">
        <v>60.6</v>
      </c>
    </row>
    <row r="178" spans="1:14" x14ac:dyDescent="0.25">
      <c r="A178" t="s">
        <v>14</v>
      </c>
      <c r="B178" t="s">
        <v>15</v>
      </c>
      <c r="C178" t="s">
        <v>371</v>
      </c>
      <c r="D178" t="s">
        <v>372</v>
      </c>
      <c r="E178">
        <v>0.7</v>
      </c>
      <c r="F178">
        <v>0.7</v>
      </c>
      <c r="G178">
        <v>0.7</v>
      </c>
      <c r="H178">
        <v>0.65</v>
      </c>
      <c r="I178">
        <v>0.65</v>
      </c>
      <c r="J178">
        <v>129600</v>
      </c>
      <c r="K178">
        <v>192000</v>
      </c>
      <c r="L178" t="s">
        <v>18</v>
      </c>
      <c r="M178">
        <v>1.8</v>
      </c>
      <c r="N178">
        <v>0.65</v>
      </c>
    </row>
    <row r="179" spans="1:14" x14ac:dyDescent="0.25">
      <c r="A179" t="s">
        <v>14</v>
      </c>
      <c r="B179" t="s">
        <v>15</v>
      </c>
      <c r="C179" t="s">
        <v>373</v>
      </c>
      <c r="D179" t="s">
        <v>374</v>
      </c>
      <c r="E179">
        <v>25.4</v>
      </c>
      <c r="F179">
        <v>24.05</v>
      </c>
      <c r="G179">
        <v>25</v>
      </c>
      <c r="H179">
        <v>24.05</v>
      </c>
      <c r="I179">
        <v>24.1</v>
      </c>
      <c r="J179">
        <v>194500</v>
      </c>
      <c r="K179">
        <v>8000</v>
      </c>
      <c r="L179" t="s">
        <v>18</v>
      </c>
      <c r="M179">
        <v>42.3</v>
      </c>
      <c r="N179">
        <v>24.05</v>
      </c>
    </row>
    <row r="180" spans="1:14" x14ac:dyDescent="0.25">
      <c r="A180" t="s">
        <v>14</v>
      </c>
      <c r="B180" t="s">
        <v>33</v>
      </c>
      <c r="C180" t="s">
        <v>375</v>
      </c>
      <c r="D180" t="s">
        <v>376</v>
      </c>
      <c r="E180">
        <v>198</v>
      </c>
      <c r="F180">
        <v>195.25</v>
      </c>
      <c r="G180">
        <v>201.9</v>
      </c>
      <c r="H180">
        <v>195.25</v>
      </c>
      <c r="I180">
        <v>201.9</v>
      </c>
      <c r="J180">
        <v>1416480</v>
      </c>
      <c r="K180">
        <v>7200</v>
      </c>
      <c r="L180" t="s">
        <v>18</v>
      </c>
      <c r="M180">
        <v>243.9</v>
      </c>
      <c r="N180">
        <v>70.05</v>
      </c>
    </row>
    <row r="181" spans="1:14" x14ac:dyDescent="0.25">
      <c r="A181" t="s">
        <v>14</v>
      </c>
      <c r="B181" t="s">
        <v>15</v>
      </c>
      <c r="C181" t="s">
        <v>377</v>
      </c>
      <c r="D181" t="s">
        <v>378</v>
      </c>
      <c r="E181">
        <v>118.9</v>
      </c>
      <c r="F181">
        <v>118.85</v>
      </c>
      <c r="G181">
        <v>118.85</v>
      </c>
      <c r="H181">
        <v>118.85</v>
      </c>
      <c r="I181">
        <v>118.85</v>
      </c>
      <c r="J181">
        <v>142620</v>
      </c>
      <c r="K181">
        <v>1200</v>
      </c>
      <c r="L181" t="s">
        <v>18</v>
      </c>
      <c r="M181">
        <v>153.1</v>
      </c>
      <c r="N181">
        <v>60.6</v>
      </c>
    </row>
    <row r="182" spans="1:14" x14ac:dyDescent="0.25">
      <c r="A182" t="s">
        <v>14</v>
      </c>
      <c r="B182" t="s">
        <v>33</v>
      </c>
      <c r="C182" t="s">
        <v>379</v>
      </c>
      <c r="D182" t="s">
        <v>380</v>
      </c>
      <c r="E182">
        <v>3.55</v>
      </c>
      <c r="F182">
        <v>3.55</v>
      </c>
      <c r="G182">
        <v>3.55</v>
      </c>
      <c r="H182">
        <v>3.55</v>
      </c>
      <c r="I182">
        <v>3.55</v>
      </c>
      <c r="J182">
        <v>10650</v>
      </c>
      <c r="K182">
        <v>3000</v>
      </c>
      <c r="L182" t="s">
        <v>18</v>
      </c>
      <c r="M182">
        <v>14.6</v>
      </c>
      <c r="N182">
        <v>2.5</v>
      </c>
    </row>
    <row r="183" spans="1:14" x14ac:dyDescent="0.25">
      <c r="A183" t="s">
        <v>14</v>
      </c>
      <c r="B183" t="s">
        <v>15</v>
      </c>
      <c r="C183" t="s">
        <v>381</v>
      </c>
      <c r="D183" t="s">
        <v>382</v>
      </c>
      <c r="E183">
        <v>88</v>
      </c>
      <c r="F183">
        <v>86.5</v>
      </c>
      <c r="G183">
        <v>88</v>
      </c>
      <c r="H183">
        <v>80.849999999999994</v>
      </c>
      <c r="I183">
        <v>83.15</v>
      </c>
      <c r="J183">
        <v>3206050</v>
      </c>
      <c r="K183">
        <v>37500</v>
      </c>
      <c r="L183" t="s">
        <v>18</v>
      </c>
      <c r="M183">
        <v>318.14999999999998</v>
      </c>
      <c r="N183">
        <v>80.849999999999994</v>
      </c>
    </row>
    <row r="184" spans="1:14" x14ac:dyDescent="0.25">
      <c r="A184" t="s">
        <v>14</v>
      </c>
      <c r="B184" t="s">
        <v>33</v>
      </c>
      <c r="C184" t="s">
        <v>383</v>
      </c>
      <c r="D184" t="s">
        <v>384</v>
      </c>
      <c r="E184">
        <v>128</v>
      </c>
      <c r="F184">
        <v>128.1</v>
      </c>
      <c r="G184">
        <v>129.75</v>
      </c>
      <c r="H184">
        <v>128.1</v>
      </c>
      <c r="I184">
        <v>129.75</v>
      </c>
      <c r="J184">
        <v>96900</v>
      </c>
      <c r="K184">
        <v>750</v>
      </c>
      <c r="L184" t="s">
        <v>18</v>
      </c>
      <c r="M184">
        <v>336</v>
      </c>
      <c r="N184">
        <v>110.2</v>
      </c>
    </row>
    <row r="185" spans="1:14" x14ac:dyDescent="0.25">
      <c r="A185" t="s">
        <v>14</v>
      </c>
      <c r="B185" t="s">
        <v>15</v>
      </c>
      <c r="C185" t="s">
        <v>385</v>
      </c>
      <c r="D185" t="s">
        <v>386</v>
      </c>
      <c r="E185">
        <v>136</v>
      </c>
      <c r="F185">
        <v>142</v>
      </c>
      <c r="G185">
        <v>144.94999999999999</v>
      </c>
      <c r="H185">
        <v>141.05000000000001</v>
      </c>
      <c r="I185">
        <v>144.94999999999999</v>
      </c>
      <c r="J185">
        <v>4564550</v>
      </c>
      <c r="K185">
        <v>32000</v>
      </c>
      <c r="L185" t="s">
        <v>18</v>
      </c>
      <c r="M185">
        <v>183</v>
      </c>
      <c r="N185">
        <v>106.35</v>
      </c>
    </row>
    <row r="186" spans="1:14" x14ac:dyDescent="0.25">
      <c r="A186" t="s">
        <v>14</v>
      </c>
      <c r="B186" t="s">
        <v>15</v>
      </c>
      <c r="C186" t="s">
        <v>387</v>
      </c>
      <c r="D186" t="s">
        <v>388</v>
      </c>
      <c r="E186">
        <v>46.5</v>
      </c>
      <c r="F186">
        <v>45.05</v>
      </c>
      <c r="G186">
        <v>45.05</v>
      </c>
      <c r="H186">
        <v>43.55</v>
      </c>
      <c r="I186">
        <v>44.5</v>
      </c>
      <c r="J186">
        <v>981900</v>
      </c>
      <c r="K186">
        <v>22000</v>
      </c>
      <c r="L186" t="s">
        <v>18</v>
      </c>
      <c r="M186">
        <v>74.5</v>
      </c>
      <c r="N186">
        <v>31</v>
      </c>
    </row>
    <row r="187" spans="1:14" x14ac:dyDescent="0.25">
      <c r="A187" t="s">
        <v>14</v>
      </c>
      <c r="B187" t="s">
        <v>15</v>
      </c>
      <c r="C187" t="s">
        <v>389</v>
      </c>
      <c r="D187" t="s">
        <v>390</v>
      </c>
      <c r="E187">
        <v>10.050000000000001</v>
      </c>
      <c r="F187">
        <v>10.15</v>
      </c>
      <c r="G187">
        <v>10.45</v>
      </c>
      <c r="H187">
        <v>10.15</v>
      </c>
      <c r="I187">
        <v>10.45</v>
      </c>
      <c r="J187">
        <v>1179300</v>
      </c>
      <c r="K187">
        <v>114000</v>
      </c>
      <c r="L187" t="s">
        <v>18</v>
      </c>
      <c r="M187">
        <v>22.7</v>
      </c>
      <c r="N187">
        <v>10</v>
      </c>
    </row>
    <row r="188" spans="1:14" x14ac:dyDescent="0.25">
      <c r="A188" t="s">
        <v>14</v>
      </c>
      <c r="B188" t="s">
        <v>15</v>
      </c>
      <c r="C188" t="s">
        <v>391</v>
      </c>
      <c r="D188" t="s">
        <v>392</v>
      </c>
      <c r="E188">
        <v>44.35</v>
      </c>
      <c r="F188">
        <v>46</v>
      </c>
      <c r="G188">
        <v>49.8</v>
      </c>
      <c r="H188">
        <v>41.8</v>
      </c>
      <c r="I188">
        <v>42.75</v>
      </c>
      <c r="J188">
        <v>3754500</v>
      </c>
      <c r="K188">
        <v>84000</v>
      </c>
      <c r="L188" t="s">
        <v>18</v>
      </c>
      <c r="M188">
        <v>77.75</v>
      </c>
      <c r="N188">
        <v>35.450000000000003</v>
      </c>
    </row>
    <row r="189" spans="1:14" x14ac:dyDescent="0.25">
      <c r="A189" t="s">
        <v>14</v>
      </c>
      <c r="B189" t="s">
        <v>15</v>
      </c>
      <c r="C189" t="s">
        <v>393</v>
      </c>
      <c r="D189" t="s">
        <v>394</v>
      </c>
      <c r="E189">
        <v>59.1</v>
      </c>
      <c r="F189">
        <v>58</v>
      </c>
      <c r="G189">
        <v>59</v>
      </c>
      <c r="H189">
        <v>58</v>
      </c>
      <c r="I189">
        <v>58.15</v>
      </c>
      <c r="J189">
        <v>629730</v>
      </c>
      <c r="K189">
        <v>10800</v>
      </c>
      <c r="L189" t="s">
        <v>18</v>
      </c>
      <c r="M189">
        <v>143.44999999999999</v>
      </c>
      <c r="N189">
        <v>52.5</v>
      </c>
    </row>
    <row r="190" spans="1:14" x14ac:dyDescent="0.25">
      <c r="A190" t="s">
        <v>14</v>
      </c>
      <c r="B190" t="s">
        <v>15</v>
      </c>
      <c r="C190" t="s">
        <v>395</v>
      </c>
      <c r="D190" t="s">
        <v>396</v>
      </c>
      <c r="E190">
        <v>91.6</v>
      </c>
      <c r="F190">
        <v>90</v>
      </c>
      <c r="G190">
        <v>90</v>
      </c>
      <c r="H190">
        <v>87.2</v>
      </c>
      <c r="I190">
        <v>87.7</v>
      </c>
      <c r="J190">
        <v>795000</v>
      </c>
      <c r="K190">
        <v>9000</v>
      </c>
      <c r="L190" t="s">
        <v>18</v>
      </c>
      <c r="M190">
        <v>229</v>
      </c>
      <c r="N190">
        <v>84</v>
      </c>
    </row>
    <row r="191" spans="1:14" x14ac:dyDescent="0.25">
      <c r="A191" t="s">
        <v>14</v>
      </c>
      <c r="B191" t="s">
        <v>15</v>
      </c>
      <c r="C191" t="s">
        <v>397</v>
      </c>
      <c r="D191" t="s">
        <v>398</v>
      </c>
      <c r="E191">
        <v>20.55</v>
      </c>
      <c r="F191">
        <v>19.55</v>
      </c>
      <c r="G191">
        <v>20</v>
      </c>
      <c r="H191">
        <v>19.55</v>
      </c>
      <c r="I191">
        <v>19.600000000000001</v>
      </c>
      <c r="J191">
        <v>196700</v>
      </c>
      <c r="K191">
        <v>10000</v>
      </c>
      <c r="L191" t="s">
        <v>18</v>
      </c>
      <c r="M191">
        <v>55</v>
      </c>
      <c r="N191">
        <v>18.95</v>
      </c>
    </row>
    <row r="192" spans="1:14" x14ac:dyDescent="0.25">
      <c r="A192" t="s">
        <v>14</v>
      </c>
      <c r="B192" t="s">
        <v>15</v>
      </c>
      <c r="C192" t="s">
        <v>399</v>
      </c>
      <c r="D192" t="s">
        <v>400</v>
      </c>
      <c r="E192">
        <v>150.80000000000001</v>
      </c>
      <c r="F192">
        <v>151.94999999999999</v>
      </c>
      <c r="G192">
        <v>151.94999999999999</v>
      </c>
      <c r="H192">
        <v>151.94999999999999</v>
      </c>
      <c r="I192">
        <v>151.94999999999999</v>
      </c>
      <c r="J192">
        <v>151950</v>
      </c>
      <c r="K192">
        <v>1000</v>
      </c>
      <c r="L192" t="s">
        <v>18</v>
      </c>
      <c r="M192">
        <v>160</v>
      </c>
      <c r="N192">
        <v>46.15</v>
      </c>
    </row>
    <row r="193" spans="1:14" x14ac:dyDescent="0.25">
      <c r="A193" t="s">
        <v>14</v>
      </c>
      <c r="B193" t="s">
        <v>33</v>
      </c>
      <c r="C193" t="s">
        <v>401</v>
      </c>
      <c r="D193" t="s">
        <v>402</v>
      </c>
      <c r="E193">
        <v>118</v>
      </c>
      <c r="F193">
        <v>118</v>
      </c>
      <c r="G193">
        <v>118.05</v>
      </c>
      <c r="H193">
        <v>117</v>
      </c>
      <c r="I193">
        <v>117</v>
      </c>
      <c r="J193">
        <v>1176050</v>
      </c>
      <c r="K193">
        <v>10000</v>
      </c>
      <c r="L193" t="s">
        <v>18</v>
      </c>
      <c r="M193">
        <v>973</v>
      </c>
      <c r="N193">
        <v>112.25</v>
      </c>
    </row>
    <row r="194" spans="1:14" x14ac:dyDescent="0.25">
      <c r="A194" t="s">
        <v>14</v>
      </c>
      <c r="B194" t="s">
        <v>15</v>
      </c>
      <c r="C194" t="s">
        <v>403</v>
      </c>
      <c r="D194" t="s">
        <v>404</v>
      </c>
      <c r="E194">
        <v>102</v>
      </c>
      <c r="F194">
        <v>101.3</v>
      </c>
      <c r="G194">
        <v>102.5</v>
      </c>
      <c r="H194">
        <v>100</v>
      </c>
      <c r="I194">
        <v>101.4</v>
      </c>
      <c r="J194">
        <v>2135940</v>
      </c>
      <c r="K194">
        <v>21000</v>
      </c>
      <c r="L194" t="s">
        <v>18</v>
      </c>
      <c r="M194">
        <v>131.75</v>
      </c>
      <c r="N194">
        <v>85.5</v>
      </c>
    </row>
    <row r="195" spans="1:14" x14ac:dyDescent="0.25">
      <c r="A195" t="s">
        <v>14</v>
      </c>
      <c r="B195" t="s">
        <v>15</v>
      </c>
      <c r="C195" t="s">
        <v>405</v>
      </c>
      <c r="D195" t="s">
        <v>406</v>
      </c>
      <c r="E195">
        <v>45.95</v>
      </c>
      <c r="F195">
        <v>43.85</v>
      </c>
      <c r="G195">
        <v>44.1</v>
      </c>
      <c r="H195">
        <v>43.85</v>
      </c>
      <c r="I195">
        <v>44.05</v>
      </c>
      <c r="J195">
        <v>175960</v>
      </c>
      <c r="K195">
        <v>4000</v>
      </c>
      <c r="L195" t="s">
        <v>18</v>
      </c>
      <c r="M195">
        <v>112</v>
      </c>
      <c r="N195">
        <v>40.6</v>
      </c>
    </row>
    <row r="196" spans="1:14" x14ac:dyDescent="0.25">
      <c r="A196" t="s">
        <v>14</v>
      </c>
      <c r="B196" t="s">
        <v>15</v>
      </c>
      <c r="C196" t="s">
        <v>407</v>
      </c>
      <c r="D196" t="s">
        <v>408</v>
      </c>
      <c r="E196">
        <v>123.75</v>
      </c>
      <c r="F196">
        <v>123</v>
      </c>
      <c r="G196">
        <v>123</v>
      </c>
      <c r="H196">
        <v>116.1</v>
      </c>
      <c r="I196">
        <v>117.05</v>
      </c>
      <c r="J196">
        <v>4548825</v>
      </c>
      <c r="K196">
        <v>38500</v>
      </c>
      <c r="L196" t="s">
        <v>18</v>
      </c>
      <c r="M196">
        <v>388.05</v>
      </c>
      <c r="N196">
        <v>112.05</v>
      </c>
    </row>
    <row r="197" spans="1:14" x14ac:dyDescent="0.25">
      <c r="A197" t="s">
        <v>14</v>
      </c>
      <c r="B197" t="s">
        <v>15</v>
      </c>
      <c r="C197" t="s">
        <v>409</v>
      </c>
      <c r="D197" t="s">
        <v>410</v>
      </c>
      <c r="E197">
        <v>64</v>
      </c>
      <c r="F197">
        <v>60.8</v>
      </c>
      <c r="G197">
        <v>61</v>
      </c>
      <c r="H197">
        <v>60.8</v>
      </c>
      <c r="I197">
        <v>60.9</v>
      </c>
      <c r="J197">
        <v>194880</v>
      </c>
      <c r="K197">
        <v>3200</v>
      </c>
      <c r="L197" t="s">
        <v>18</v>
      </c>
      <c r="M197">
        <v>156.9</v>
      </c>
      <c r="N197">
        <v>58</v>
      </c>
    </row>
    <row r="198" spans="1:14" x14ac:dyDescent="0.25">
      <c r="A198" t="s">
        <v>14</v>
      </c>
      <c r="B198" t="s">
        <v>15</v>
      </c>
      <c r="C198" t="s">
        <v>411</v>
      </c>
      <c r="D198" t="s">
        <v>412</v>
      </c>
      <c r="E198">
        <v>22.75</v>
      </c>
      <c r="F198">
        <v>23.5</v>
      </c>
      <c r="G198">
        <v>23.5</v>
      </c>
      <c r="H198">
        <v>18.350000000000001</v>
      </c>
      <c r="I198">
        <v>19.2</v>
      </c>
      <c r="J198">
        <v>13846125</v>
      </c>
      <c r="K198">
        <v>680000</v>
      </c>
      <c r="L198" t="s">
        <v>18</v>
      </c>
      <c r="M198">
        <v>57.55</v>
      </c>
      <c r="N198">
        <v>16.8</v>
      </c>
    </row>
    <row r="199" spans="1:14" x14ac:dyDescent="0.25">
      <c r="A199" t="s">
        <v>14</v>
      </c>
      <c r="B199" t="s">
        <v>15</v>
      </c>
      <c r="C199" t="s">
        <v>413</v>
      </c>
      <c r="D199" t="s">
        <v>414</v>
      </c>
      <c r="E199">
        <v>40</v>
      </c>
      <c r="F199">
        <v>40</v>
      </c>
      <c r="G199">
        <v>40</v>
      </c>
      <c r="H199">
        <v>38.950000000000003</v>
      </c>
      <c r="I199">
        <v>39.049999999999997</v>
      </c>
      <c r="J199">
        <v>660780</v>
      </c>
      <c r="K199">
        <v>16800</v>
      </c>
      <c r="L199" t="s">
        <v>18</v>
      </c>
      <c r="M199">
        <v>85</v>
      </c>
      <c r="N199">
        <v>35.25</v>
      </c>
    </row>
    <row r="200" spans="1:14" x14ac:dyDescent="0.25">
      <c r="A200" t="s">
        <v>14</v>
      </c>
      <c r="B200" t="s">
        <v>33</v>
      </c>
      <c r="C200" t="s">
        <v>415</v>
      </c>
      <c r="D200" t="s">
        <v>416</v>
      </c>
      <c r="E200">
        <v>723.1</v>
      </c>
      <c r="F200">
        <v>724</v>
      </c>
      <c r="G200">
        <v>752</v>
      </c>
      <c r="H200">
        <v>724</v>
      </c>
      <c r="I200">
        <v>744.45</v>
      </c>
      <c r="J200">
        <v>7352355</v>
      </c>
      <c r="K200">
        <v>9900</v>
      </c>
      <c r="L200" t="s">
        <v>18</v>
      </c>
      <c r="M200">
        <v>1439</v>
      </c>
      <c r="N200">
        <v>556.04999999999995</v>
      </c>
    </row>
    <row r="201" spans="1:14" x14ac:dyDescent="0.25">
      <c r="A201" t="s">
        <v>14</v>
      </c>
      <c r="B201" t="s">
        <v>15</v>
      </c>
      <c r="C201" t="s">
        <v>417</v>
      </c>
      <c r="D201" t="s">
        <v>418</v>
      </c>
      <c r="E201">
        <v>43.05</v>
      </c>
      <c r="F201">
        <v>40</v>
      </c>
      <c r="G201">
        <v>46.95</v>
      </c>
      <c r="H201">
        <v>40</v>
      </c>
      <c r="I201">
        <v>43.25</v>
      </c>
      <c r="J201">
        <v>307550</v>
      </c>
      <c r="K201">
        <v>7000</v>
      </c>
      <c r="L201" t="s">
        <v>18</v>
      </c>
      <c r="M201">
        <v>114.85</v>
      </c>
      <c r="N201">
        <v>38.5</v>
      </c>
    </row>
    <row r="202" spans="1:14" x14ac:dyDescent="0.25">
      <c r="A202" t="s">
        <v>14</v>
      </c>
      <c r="B202" t="s">
        <v>15</v>
      </c>
      <c r="C202" t="s">
        <v>419</v>
      </c>
      <c r="D202" t="s">
        <v>420</v>
      </c>
      <c r="E202">
        <v>54</v>
      </c>
      <c r="F202">
        <v>54</v>
      </c>
      <c r="G202">
        <v>61</v>
      </c>
      <c r="H202">
        <v>54</v>
      </c>
      <c r="I202">
        <v>61</v>
      </c>
      <c r="J202">
        <v>335220</v>
      </c>
      <c r="K202">
        <v>6000</v>
      </c>
      <c r="L202" t="s">
        <v>18</v>
      </c>
      <c r="M202">
        <v>124.5</v>
      </c>
      <c r="N202">
        <v>53.25</v>
      </c>
    </row>
    <row r="203" spans="1:14" x14ac:dyDescent="0.25">
      <c r="A203" t="s">
        <v>14</v>
      </c>
      <c r="B203" t="s">
        <v>33</v>
      </c>
      <c r="C203" t="s">
        <v>421</v>
      </c>
      <c r="D203" t="s">
        <v>422</v>
      </c>
      <c r="E203">
        <v>169.75</v>
      </c>
      <c r="F203">
        <v>174</v>
      </c>
      <c r="G203">
        <v>174</v>
      </c>
      <c r="H203">
        <v>170.5</v>
      </c>
      <c r="I203">
        <v>171.6</v>
      </c>
      <c r="J203">
        <v>1425225</v>
      </c>
      <c r="K203">
        <v>8250</v>
      </c>
      <c r="L203" t="s">
        <v>18</v>
      </c>
      <c r="M203">
        <v>564.95000000000005</v>
      </c>
      <c r="N203">
        <v>135.19999999999999</v>
      </c>
    </row>
    <row r="204" spans="1:14" x14ac:dyDescent="0.25">
      <c r="A204" t="s">
        <v>14</v>
      </c>
      <c r="B204" t="s">
        <v>15</v>
      </c>
      <c r="C204" t="s">
        <v>423</v>
      </c>
      <c r="D204" t="s">
        <v>424</v>
      </c>
      <c r="E204">
        <v>197.2</v>
      </c>
      <c r="F204">
        <v>197</v>
      </c>
      <c r="G204">
        <v>202.65</v>
      </c>
      <c r="H204">
        <v>191.2</v>
      </c>
      <c r="I204">
        <v>191.5</v>
      </c>
      <c r="J204">
        <v>847420</v>
      </c>
      <c r="K204">
        <v>4300</v>
      </c>
      <c r="L204" t="s">
        <v>18</v>
      </c>
      <c r="M204">
        <v>768</v>
      </c>
      <c r="N204">
        <v>191.2</v>
      </c>
    </row>
    <row r="205" spans="1:14" x14ac:dyDescent="0.25">
      <c r="A205" t="s">
        <v>14</v>
      </c>
      <c r="B205" t="s">
        <v>15</v>
      </c>
      <c r="C205" t="s">
        <v>425</v>
      </c>
      <c r="D205" t="s">
        <v>426</v>
      </c>
      <c r="E205">
        <v>184</v>
      </c>
      <c r="F205">
        <v>184</v>
      </c>
      <c r="G205">
        <v>185</v>
      </c>
      <c r="H205">
        <v>178.55</v>
      </c>
      <c r="I205">
        <v>178.8</v>
      </c>
      <c r="J205">
        <v>3774450</v>
      </c>
      <c r="K205">
        <v>21000</v>
      </c>
      <c r="L205" t="s">
        <v>18</v>
      </c>
      <c r="M205">
        <v>300</v>
      </c>
      <c r="N205">
        <v>150</v>
      </c>
    </row>
    <row r="206" spans="1:14" x14ac:dyDescent="0.25">
      <c r="A206" t="s">
        <v>14</v>
      </c>
      <c r="B206" t="s">
        <v>33</v>
      </c>
      <c r="C206" t="s">
        <v>427</v>
      </c>
      <c r="D206" t="s">
        <v>428</v>
      </c>
      <c r="E206">
        <v>135</v>
      </c>
      <c r="F206">
        <v>172.1</v>
      </c>
      <c r="G206">
        <v>180.7</v>
      </c>
      <c r="H206">
        <v>165.15</v>
      </c>
      <c r="I206">
        <v>180.7</v>
      </c>
      <c r="J206">
        <v>544512450</v>
      </c>
      <c r="K206">
        <v>3156000</v>
      </c>
      <c r="L206" t="s">
        <v>18</v>
      </c>
      <c r="M206">
        <v>180.7</v>
      </c>
      <c r="N206">
        <v>165.15</v>
      </c>
    </row>
    <row r="207" spans="1:14" x14ac:dyDescent="0.25">
      <c r="A207" t="s">
        <v>14</v>
      </c>
      <c r="B207" t="s">
        <v>15</v>
      </c>
      <c r="C207" t="s">
        <v>429</v>
      </c>
      <c r="D207" t="s">
        <v>430</v>
      </c>
      <c r="E207">
        <v>94</v>
      </c>
      <c r="F207">
        <v>91.7</v>
      </c>
      <c r="G207">
        <v>96</v>
      </c>
      <c r="H207">
        <v>91.45</v>
      </c>
      <c r="I207">
        <v>96</v>
      </c>
      <c r="J207">
        <v>792060</v>
      </c>
      <c r="K207">
        <v>8400</v>
      </c>
      <c r="L207" t="s">
        <v>18</v>
      </c>
      <c r="M207">
        <v>148</v>
      </c>
      <c r="N207">
        <v>81</v>
      </c>
    </row>
    <row r="208" spans="1:14" x14ac:dyDescent="0.25">
      <c r="A208" t="s">
        <v>14</v>
      </c>
      <c r="B208" t="s">
        <v>15</v>
      </c>
      <c r="C208" t="s">
        <v>431</v>
      </c>
      <c r="D208" t="s">
        <v>432</v>
      </c>
      <c r="E208">
        <v>109.85</v>
      </c>
      <c r="F208">
        <v>109.85</v>
      </c>
      <c r="G208">
        <v>110.1</v>
      </c>
      <c r="H208">
        <v>108.05</v>
      </c>
      <c r="I208">
        <v>108.05</v>
      </c>
      <c r="J208">
        <v>1932680</v>
      </c>
      <c r="K208">
        <v>17600</v>
      </c>
      <c r="L208" t="s">
        <v>18</v>
      </c>
      <c r="M208">
        <v>274</v>
      </c>
      <c r="N208">
        <v>102.25</v>
      </c>
    </row>
    <row r="209" spans="1:14" x14ac:dyDescent="0.25">
      <c r="A209" t="s">
        <v>14</v>
      </c>
      <c r="B209" t="s">
        <v>15</v>
      </c>
      <c r="C209" t="s">
        <v>433</v>
      </c>
      <c r="D209" t="s">
        <v>434</v>
      </c>
      <c r="E209">
        <v>29.4</v>
      </c>
      <c r="F209">
        <v>29.4</v>
      </c>
      <c r="G209">
        <v>29.4</v>
      </c>
      <c r="H209">
        <v>29.4</v>
      </c>
      <c r="I209">
        <v>29.4</v>
      </c>
      <c r="J209">
        <v>17640</v>
      </c>
      <c r="K209">
        <v>600</v>
      </c>
      <c r="L209" t="s">
        <v>18</v>
      </c>
      <c r="M209">
        <v>71.95</v>
      </c>
      <c r="N209">
        <v>24.5</v>
      </c>
    </row>
    <row r="210" spans="1:14" x14ac:dyDescent="0.25">
      <c r="A210" t="s">
        <v>14</v>
      </c>
      <c r="B210" t="s">
        <v>15</v>
      </c>
      <c r="C210" t="s">
        <v>435</v>
      </c>
      <c r="D210" t="s">
        <v>436</v>
      </c>
      <c r="E210">
        <v>60</v>
      </c>
      <c r="F210">
        <v>60.85</v>
      </c>
      <c r="G210">
        <v>61.9</v>
      </c>
      <c r="H210">
        <v>58.5</v>
      </c>
      <c r="I210">
        <v>58.55</v>
      </c>
      <c r="J210">
        <v>479600</v>
      </c>
      <c r="K210">
        <v>8000</v>
      </c>
      <c r="L210" t="s">
        <v>18</v>
      </c>
      <c r="M210">
        <v>125.75</v>
      </c>
      <c r="N210">
        <v>58</v>
      </c>
    </row>
    <row r="211" spans="1:14" x14ac:dyDescent="0.25">
      <c r="A211" t="s">
        <v>14</v>
      </c>
      <c r="B211" t="s">
        <v>15</v>
      </c>
      <c r="C211" t="s">
        <v>437</v>
      </c>
      <c r="D211" t="s">
        <v>438</v>
      </c>
      <c r="E211">
        <v>601.5</v>
      </c>
      <c r="F211">
        <v>601.54999999999995</v>
      </c>
      <c r="G211">
        <v>615</v>
      </c>
      <c r="H211">
        <v>601.5</v>
      </c>
      <c r="I211">
        <v>608.04999999999995</v>
      </c>
      <c r="J211">
        <v>6912690</v>
      </c>
      <c r="K211">
        <v>11400</v>
      </c>
      <c r="L211" t="s">
        <v>18</v>
      </c>
      <c r="M211">
        <v>819</v>
      </c>
      <c r="N211">
        <v>32.049999999999997</v>
      </c>
    </row>
    <row r="212" spans="1:14" x14ac:dyDescent="0.25">
      <c r="A212" t="s">
        <v>14</v>
      </c>
      <c r="B212" t="s">
        <v>15</v>
      </c>
      <c r="C212" t="s">
        <v>439</v>
      </c>
      <c r="D212" t="s">
        <v>440</v>
      </c>
      <c r="E212">
        <v>221.45</v>
      </c>
      <c r="F212">
        <v>220</v>
      </c>
      <c r="G212">
        <v>227.5</v>
      </c>
      <c r="H212">
        <v>220</v>
      </c>
      <c r="I212">
        <v>227.5</v>
      </c>
      <c r="J212">
        <v>3446160</v>
      </c>
      <c r="K212">
        <v>15200</v>
      </c>
      <c r="L212" t="s">
        <v>18</v>
      </c>
      <c r="M212">
        <v>246.95</v>
      </c>
      <c r="N212">
        <v>150.6</v>
      </c>
    </row>
    <row r="213" spans="1:14" x14ac:dyDescent="0.25">
      <c r="A213" t="s">
        <v>14</v>
      </c>
      <c r="B213" t="s">
        <v>15</v>
      </c>
      <c r="C213" t="s">
        <v>441</v>
      </c>
      <c r="D213" t="s">
        <v>442</v>
      </c>
      <c r="E213">
        <v>132</v>
      </c>
      <c r="F213">
        <v>132</v>
      </c>
      <c r="G213">
        <v>137</v>
      </c>
      <c r="H213">
        <v>131</v>
      </c>
      <c r="I213">
        <v>133</v>
      </c>
      <c r="J213">
        <v>1327000</v>
      </c>
      <c r="K213">
        <v>10000</v>
      </c>
      <c r="L213" t="s">
        <v>18</v>
      </c>
      <c r="M213">
        <v>212</v>
      </c>
      <c r="N213">
        <v>108.6</v>
      </c>
    </row>
    <row r="214" spans="1:14" x14ac:dyDescent="0.25">
      <c r="A214" t="s">
        <v>14</v>
      </c>
      <c r="B214" t="s">
        <v>15</v>
      </c>
      <c r="C214" t="s">
        <v>443</v>
      </c>
      <c r="D214" t="s">
        <v>444</v>
      </c>
      <c r="E214">
        <v>133.1</v>
      </c>
      <c r="F214">
        <v>135</v>
      </c>
      <c r="G214">
        <v>137.80000000000001</v>
      </c>
      <c r="H214">
        <v>135</v>
      </c>
      <c r="I214">
        <v>137.80000000000001</v>
      </c>
      <c r="J214">
        <v>39048600</v>
      </c>
      <c r="K214">
        <v>288000</v>
      </c>
      <c r="L214" t="s">
        <v>18</v>
      </c>
      <c r="M214">
        <v>166.1</v>
      </c>
      <c r="N214">
        <v>75.5</v>
      </c>
    </row>
    <row r="215" spans="1:14" x14ac:dyDescent="0.25">
      <c r="A215" t="s">
        <v>14</v>
      </c>
      <c r="B215" t="s">
        <v>15</v>
      </c>
      <c r="C215" t="s">
        <v>445</v>
      </c>
      <c r="D215" t="s">
        <v>446</v>
      </c>
      <c r="E215">
        <v>55.05</v>
      </c>
      <c r="F215">
        <v>55.05</v>
      </c>
      <c r="G215">
        <v>55.05</v>
      </c>
      <c r="H215">
        <v>54.6</v>
      </c>
      <c r="I215">
        <v>54.6</v>
      </c>
      <c r="J215">
        <v>175440</v>
      </c>
      <c r="K215">
        <v>3200</v>
      </c>
      <c r="L215" t="s">
        <v>18</v>
      </c>
      <c r="M215">
        <v>82</v>
      </c>
      <c r="N215">
        <v>49.15</v>
      </c>
    </row>
    <row r="216" spans="1:14" x14ac:dyDescent="0.25">
      <c r="A216" t="s">
        <v>14</v>
      </c>
      <c r="B216" t="s">
        <v>15</v>
      </c>
      <c r="C216" t="s">
        <v>447</v>
      </c>
      <c r="D216" t="s">
        <v>448</v>
      </c>
      <c r="E216">
        <v>169.7</v>
      </c>
      <c r="F216">
        <v>170.05</v>
      </c>
      <c r="G216">
        <v>180</v>
      </c>
      <c r="H216">
        <v>170</v>
      </c>
      <c r="I216">
        <v>179.2</v>
      </c>
      <c r="J216">
        <v>3563812.5</v>
      </c>
      <c r="K216">
        <v>20250</v>
      </c>
      <c r="L216" t="s">
        <v>18</v>
      </c>
      <c r="M216">
        <v>180</v>
      </c>
      <c r="N216">
        <v>95.2</v>
      </c>
    </row>
    <row r="217" spans="1:14" x14ac:dyDescent="0.25">
      <c r="A217" t="s">
        <v>14</v>
      </c>
      <c r="B217" t="s">
        <v>15</v>
      </c>
      <c r="C217" t="s">
        <v>449</v>
      </c>
      <c r="D217" t="s">
        <v>450</v>
      </c>
      <c r="E217">
        <v>214.3</v>
      </c>
      <c r="F217">
        <v>192.5</v>
      </c>
      <c r="G217">
        <v>211.95</v>
      </c>
      <c r="H217">
        <v>192.5</v>
      </c>
      <c r="I217">
        <v>199.3</v>
      </c>
      <c r="J217">
        <v>963860</v>
      </c>
      <c r="K217">
        <v>4800</v>
      </c>
      <c r="L217" t="s">
        <v>18</v>
      </c>
      <c r="M217">
        <v>329</v>
      </c>
      <c r="N217">
        <v>192.1</v>
      </c>
    </row>
    <row r="218" spans="1:14" x14ac:dyDescent="0.25">
      <c r="A218" t="s">
        <v>14</v>
      </c>
      <c r="B218" t="s">
        <v>15</v>
      </c>
      <c r="C218" t="s">
        <v>451</v>
      </c>
      <c r="D218" t="s">
        <v>452</v>
      </c>
      <c r="E218">
        <v>67.05</v>
      </c>
      <c r="F218">
        <v>68</v>
      </c>
      <c r="G218">
        <v>68.75</v>
      </c>
      <c r="H218">
        <v>68</v>
      </c>
      <c r="I218">
        <v>68.650000000000006</v>
      </c>
      <c r="J218">
        <v>988560</v>
      </c>
      <c r="K218">
        <v>14400</v>
      </c>
      <c r="L218" t="s">
        <v>18</v>
      </c>
      <c r="M218">
        <v>153.9</v>
      </c>
      <c r="N218">
        <v>62.4</v>
      </c>
    </row>
    <row r="219" spans="1:14" x14ac:dyDescent="0.25">
      <c r="A219" t="s">
        <v>14</v>
      </c>
      <c r="B219" t="s">
        <v>15</v>
      </c>
      <c r="C219" t="s">
        <v>453</v>
      </c>
      <c r="D219" t="s">
        <v>454</v>
      </c>
      <c r="E219">
        <v>20.399999999999999</v>
      </c>
      <c r="F219">
        <v>20</v>
      </c>
      <c r="G219">
        <v>20</v>
      </c>
      <c r="H219">
        <v>20</v>
      </c>
      <c r="I219">
        <v>20</v>
      </c>
      <c r="J219">
        <v>40000</v>
      </c>
      <c r="K219">
        <v>2000</v>
      </c>
      <c r="L219" t="s">
        <v>18</v>
      </c>
      <c r="M219">
        <v>31.9</v>
      </c>
      <c r="N219">
        <v>17.8</v>
      </c>
    </row>
    <row r="220" spans="1:14" x14ac:dyDescent="0.25">
      <c r="A220" t="s">
        <v>14</v>
      </c>
      <c r="B220" t="s">
        <v>15</v>
      </c>
      <c r="C220" t="s">
        <v>455</v>
      </c>
      <c r="D220" t="s">
        <v>456</v>
      </c>
      <c r="E220">
        <v>44.2</v>
      </c>
      <c r="F220">
        <v>44.2</v>
      </c>
      <c r="G220">
        <v>44.2</v>
      </c>
      <c r="H220">
        <v>43.2</v>
      </c>
      <c r="I220">
        <v>43.7</v>
      </c>
      <c r="J220">
        <v>210560</v>
      </c>
      <c r="K220">
        <v>4800</v>
      </c>
      <c r="L220" t="s">
        <v>18</v>
      </c>
      <c r="M220">
        <v>80.2</v>
      </c>
      <c r="N220">
        <v>26.25</v>
      </c>
    </row>
    <row r="221" spans="1:14" x14ac:dyDescent="0.25">
      <c r="A221" t="s">
        <v>14</v>
      </c>
      <c r="B221" t="s">
        <v>15</v>
      </c>
      <c r="C221" t="s">
        <v>457</v>
      </c>
      <c r="D221" t="s">
        <v>458</v>
      </c>
      <c r="E221">
        <v>16.05</v>
      </c>
      <c r="F221">
        <v>16.5</v>
      </c>
      <c r="G221">
        <v>16.5</v>
      </c>
      <c r="H221">
        <v>16.5</v>
      </c>
      <c r="I221">
        <v>16.5</v>
      </c>
      <c r="J221">
        <v>66000</v>
      </c>
      <c r="K221">
        <v>4000</v>
      </c>
      <c r="L221" t="s">
        <v>18</v>
      </c>
      <c r="M221">
        <v>41.5</v>
      </c>
      <c r="N221">
        <v>16.05</v>
      </c>
    </row>
    <row r="222" spans="1:14" x14ac:dyDescent="0.25">
      <c r="A222" t="s">
        <v>14</v>
      </c>
      <c r="B222" t="s">
        <v>15</v>
      </c>
      <c r="C222" t="s">
        <v>459</v>
      </c>
      <c r="D222" t="s">
        <v>460</v>
      </c>
      <c r="E222">
        <v>48.85</v>
      </c>
      <c r="F222">
        <v>48.5</v>
      </c>
      <c r="G222">
        <v>56</v>
      </c>
      <c r="H222">
        <v>47.8</v>
      </c>
      <c r="I222">
        <v>55.05</v>
      </c>
      <c r="J222">
        <v>13627980</v>
      </c>
      <c r="K222">
        <v>258000</v>
      </c>
      <c r="L222" t="s">
        <v>18</v>
      </c>
      <c r="M222">
        <v>74.400000000000006</v>
      </c>
      <c r="N222">
        <v>40.75</v>
      </c>
    </row>
    <row r="223" spans="1:14" x14ac:dyDescent="0.25">
      <c r="A223" t="s">
        <v>14</v>
      </c>
      <c r="B223" t="s">
        <v>15</v>
      </c>
      <c r="C223" t="s">
        <v>461</v>
      </c>
      <c r="D223" t="s">
        <v>462</v>
      </c>
      <c r="E223">
        <v>30.15</v>
      </c>
      <c r="F223">
        <v>30.05</v>
      </c>
      <c r="G223">
        <v>31</v>
      </c>
      <c r="H223">
        <v>28</v>
      </c>
      <c r="I223">
        <v>28.5</v>
      </c>
      <c r="J223">
        <v>1147125</v>
      </c>
      <c r="K223">
        <v>39000</v>
      </c>
      <c r="L223" t="s">
        <v>18</v>
      </c>
      <c r="M223">
        <v>57.25</v>
      </c>
      <c r="N223">
        <v>28</v>
      </c>
    </row>
    <row r="224" spans="1:14" x14ac:dyDescent="0.25">
      <c r="A224" t="s">
        <v>14</v>
      </c>
      <c r="B224" t="s">
        <v>33</v>
      </c>
      <c r="C224" t="s">
        <v>463</v>
      </c>
      <c r="D224" t="s">
        <v>464</v>
      </c>
      <c r="E224">
        <v>14.95</v>
      </c>
      <c r="F224">
        <v>15.65</v>
      </c>
      <c r="G224">
        <v>15.65</v>
      </c>
      <c r="H224">
        <v>15.65</v>
      </c>
      <c r="I224">
        <v>15.65</v>
      </c>
      <c r="J224">
        <v>125200</v>
      </c>
      <c r="K224">
        <v>8000</v>
      </c>
      <c r="L224" t="s">
        <v>18</v>
      </c>
      <c r="M224">
        <v>28.2</v>
      </c>
      <c r="N224">
        <v>13.3</v>
      </c>
    </row>
    <row r="225" spans="1:14" x14ac:dyDescent="0.25">
      <c r="A225" t="s">
        <v>14</v>
      </c>
      <c r="B225" t="s">
        <v>15</v>
      </c>
      <c r="C225" t="s">
        <v>465</v>
      </c>
      <c r="D225" t="s">
        <v>466</v>
      </c>
      <c r="E225">
        <v>53.05</v>
      </c>
      <c r="F225">
        <v>50.05</v>
      </c>
      <c r="G225">
        <v>50.05</v>
      </c>
      <c r="H225">
        <v>50</v>
      </c>
      <c r="I225">
        <v>50</v>
      </c>
      <c r="J225">
        <v>850200</v>
      </c>
      <c r="K225">
        <v>17000</v>
      </c>
      <c r="L225" t="s">
        <v>18</v>
      </c>
      <c r="M225">
        <v>124.5</v>
      </c>
      <c r="N225">
        <v>50</v>
      </c>
    </row>
    <row r="226" spans="1:14" x14ac:dyDescent="0.25">
      <c r="A226" t="s">
        <v>14</v>
      </c>
      <c r="B226" t="s">
        <v>15</v>
      </c>
      <c r="C226" t="s">
        <v>467</v>
      </c>
      <c r="D226" t="s">
        <v>468</v>
      </c>
      <c r="E226">
        <v>168.8</v>
      </c>
      <c r="F226">
        <v>168.8</v>
      </c>
      <c r="G226">
        <v>184</v>
      </c>
      <c r="H226">
        <v>167.5</v>
      </c>
      <c r="I226">
        <v>179.15</v>
      </c>
      <c r="J226">
        <v>1476725</v>
      </c>
      <c r="K226">
        <v>8500</v>
      </c>
      <c r="L226" t="s">
        <v>18</v>
      </c>
      <c r="M226">
        <v>220</v>
      </c>
      <c r="N226">
        <v>73.5</v>
      </c>
    </row>
    <row r="227" spans="1:14" x14ac:dyDescent="0.25">
      <c r="A227" t="s">
        <v>14</v>
      </c>
      <c r="B227" t="s">
        <v>15</v>
      </c>
      <c r="C227" t="s">
        <v>469</v>
      </c>
      <c r="D227" t="s">
        <v>470</v>
      </c>
      <c r="E227">
        <v>325</v>
      </c>
      <c r="F227">
        <v>316.14999999999998</v>
      </c>
      <c r="G227">
        <v>324.85000000000002</v>
      </c>
      <c r="H227">
        <v>308.75</v>
      </c>
      <c r="I227">
        <v>315</v>
      </c>
      <c r="J227">
        <v>1726975</v>
      </c>
      <c r="K227">
        <v>5500</v>
      </c>
      <c r="L227" t="s">
        <v>18</v>
      </c>
      <c r="M227">
        <v>436</v>
      </c>
      <c r="N227">
        <v>258.39999999999998</v>
      </c>
    </row>
    <row r="228" spans="1:14" x14ac:dyDescent="0.25">
      <c r="A228" t="s">
        <v>14</v>
      </c>
      <c r="B228" t="s">
        <v>15</v>
      </c>
      <c r="C228" t="s">
        <v>471</v>
      </c>
      <c r="D228" t="s">
        <v>472</v>
      </c>
      <c r="E228">
        <v>87</v>
      </c>
      <c r="F228">
        <v>80.099999999999994</v>
      </c>
      <c r="G228">
        <v>87</v>
      </c>
      <c r="H228">
        <v>80.099999999999994</v>
      </c>
      <c r="I228">
        <v>86.9</v>
      </c>
      <c r="J228">
        <v>4157880</v>
      </c>
      <c r="K228">
        <v>51600</v>
      </c>
      <c r="L228" t="s">
        <v>18</v>
      </c>
      <c r="M228">
        <v>120</v>
      </c>
      <c r="N228">
        <v>73.55</v>
      </c>
    </row>
    <row r="229" spans="1:14" x14ac:dyDescent="0.25">
      <c r="A229" t="s">
        <v>14</v>
      </c>
      <c r="B229" t="s">
        <v>15</v>
      </c>
      <c r="C229" t="s">
        <v>473</v>
      </c>
      <c r="D229" t="s">
        <v>474</v>
      </c>
      <c r="E229">
        <v>40.049999999999997</v>
      </c>
      <c r="F229">
        <v>40</v>
      </c>
      <c r="G229">
        <v>40</v>
      </c>
      <c r="H229">
        <v>40</v>
      </c>
      <c r="I229">
        <v>40</v>
      </c>
      <c r="J229">
        <v>40000</v>
      </c>
      <c r="K229">
        <v>1000</v>
      </c>
      <c r="L229" t="s">
        <v>18</v>
      </c>
      <c r="M229">
        <v>89.5</v>
      </c>
      <c r="N229">
        <v>37.200000000000003</v>
      </c>
    </row>
    <row r="230" spans="1:14" x14ac:dyDescent="0.25">
      <c r="A230" t="s">
        <v>14</v>
      </c>
      <c r="B230" t="s">
        <v>33</v>
      </c>
      <c r="C230" t="s">
        <v>475</v>
      </c>
      <c r="D230" t="s">
        <v>476</v>
      </c>
      <c r="E230">
        <v>327.60000000000002</v>
      </c>
      <c r="F230">
        <v>343.55</v>
      </c>
      <c r="G230">
        <v>343.95</v>
      </c>
      <c r="H230">
        <v>330</v>
      </c>
      <c r="I230">
        <v>338</v>
      </c>
      <c r="J230">
        <v>12847800</v>
      </c>
      <c r="K230">
        <v>37600</v>
      </c>
      <c r="L230" t="s">
        <v>18</v>
      </c>
      <c r="M230">
        <v>509</v>
      </c>
      <c r="N230">
        <v>145.05000000000001</v>
      </c>
    </row>
    <row r="231" spans="1:14" x14ac:dyDescent="0.25">
      <c r="A231" t="s">
        <v>14</v>
      </c>
      <c r="B231" t="s">
        <v>33</v>
      </c>
      <c r="C231" t="s">
        <v>477</v>
      </c>
      <c r="D231" t="s">
        <v>478</v>
      </c>
      <c r="E231">
        <v>55.5</v>
      </c>
      <c r="F231">
        <v>55.5</v>
      </c>
      <c r="G231">
        <v>55.5</v>
      </c>
      <c r="H231">
        <v>55.45</v>
      </c>
      <c r="I231">
        <v>55.45</v>
      </c>
      <c r="J231">
        <v>110950</v>
      </c>
      <c r="K231">
        <v>2000</v>
      </c>
      <c r="L231" t="s">
        <v>18</v>
      </c>
      <c r="M231">
        <v>186.6</v>
      </c>
      <c r="N231">
        <v>53.4</v>
      </c>
    </row>
    <row r="232" spans="1:14" x14ac:dyDescent="0.25">
      <c r="A232" t="s">
        <v>14</v>
      </c>
      <c r="B232" t="s">
        <v>15</v>
      </c>
      <c r="C232" t="s">
        <v>479</v>
      </c>
      <c r="D232" t="s">
        <v>480</v>
      </c>
      <c r="E232">
        <v>24.2</v>
      </c>
      <c r="F232">
        <v>24.7</v>
      </c>
      <c r="G232">
        <v>25.4</v>
      </c>
      <c r="H232">
        <v>23.55</v>
      </c>
      <c r="I232">
        <v>25.4</v>
      </c>
      <c r="J232">
        <v>688700</v>
      </c>
      <c r="K232">
        <v>28000</v>
      </c>
      <c r="L232" t="s">
        <v>18</v>
      </c>
      <c r="M232">
        <v>49.7</v>
      </c>
      <c r="N232">
        <v>19.600000000000001</v>
      </c>
    </row>
    <row r="233" spans="1:14" x14ac:dyDescent="0.25">
      <c r="A233" t="s">
        <v>14</v>
      </c>
      <c r="B233" t="s">
        <v>33</v>
      </c>
      <c r="C233" t="s">
        <v>481</v>
      </c>
      <c r="D233" t="s">
        <v>482</v>
      </c>
      <c r="E233">
        <v>101</v>
      </c>
      <c r="F233">
        <v>105</v>
      </c>
      <c r="G233">
        <v>106.05</v>
      </c>
      <c r="H233">
        <v>102</v>
      </c>
      <c r="I233">
        <v>106.05</v>
      </c>
      <c r="J233">
        <v>939150</v>
      </c>
      <c r="K233">
        <v>9000</v>
      </c>
      <c r="L233" t="s">
        <v>18</v>
      </c>
      <c r="M233">
        <v>127.55</v>
      </c>
      <c r="N233">
        <v>40</v>
      </c>
    </row>
    <row r="234" spans="1:14" x14ac:dyDescent="0.25">
      <c r="A234" t="s">
        <v>14</v>
      </c>
      <c r="B234" t="s">
        <v>15</v>
      </c>
      <c r="C234" t="s">
        <v>483</v>
      </c>
      <c r="D234" t="s">
        <v>484</v>
      </c>
      <c r="E234">
        <v>207.45</v>
      </c>
      <c r="F234">
        <v>205</v>
      </c>
      <c r="G234">
        <v>207</v>
      </c>
      <c r="H234">
        <v>201.35</v>
      </c>
      <c r="I234">
        <v>206.7</v>
      </c>
      <c r="J234">
        <v>2535180</v>
      </c>
      <c r="K234">
        <v>12400</v>
      </c>
      <c r="L234" t="s">
        <v>18</v>
      </c>
      <c r="M234">
        <v>380</v>
      </c>
      <c r="N234">
        <v>192.55</v>
      </c>
    </row>
    <row r="235" spans="1:14" x14ac:dyDescent="0.25">
      <c r="A235" t="s">
        <v>14</v>
      </c>
      <c r="B235" t="s">
        <v>15</v>
      </c>
      <c r="C235" t="s">
        <v>485</v>
      </c>
      <c r="D235" t="s">
        <v>486</v>
      </c>
      <c r="E235">
        <v>19.7</v>
      </c>
      <c r="F235">
        <v>18.649999999999999</v>
      </c>
      <c r="G235">
        <v>19</v>
      </c>
      <c r="H235">
        <v>18.649999999999999</v>
      </c>
      <c r="I235">
        <v>19</v>
      </c>
      <c r="J235">
        <v>119920</v>
      </c>
      <c r="K235">
        <v>6400</v>
      </c>
      <c r="L235" t="s">
        <v>18</v>
      </c>
      <c r="M235">
        <v>32</v>
      </c>
      <c r="N235">
        <v>17.850000000000001</v>
      </c>
    </row>
    <row r="236" spans="1:14" x14ac:dyDescent="0.25">
      <c r="A236" t="s">
        <v>14</v>
      </c>
      <c r="B236" t="s">
        <v>33</v>
      </c>
      <c r="C236" t="s">
        <v>487</v>
      </c>
      <c r="D236" t="s">
        <v>488</v>
      </c>
      <c r="E236">
        <v>48.85</v>
      </c>
      <c r="F236">
        <v>51</v>
      </c>
      <c r="G236">
        <v>51</v>
      </c>
      <c r="H236">
        <v>51</v>
      </c>
      <c r="I236">
        <v>51</v>
      </c>
      <c r="J236">
        <v>1346400</v>
      </c>
      <c r="K236">
        <v>26400</v>
      </c>
      <c r="L236" t="s">
        <v>18</v>
      </c>
      <c r="M236">
        <v>51</v>
      </c>
      <c r="N236">
        <v>24.85</v>
      </c>
    </row>
    <row r="237" spans="1:14" x14ac:dyDescent="0.25">
      <c r="A237" t="s">
        <v>14</v>
      </c>
      <c r="B237" t="s">
        <v>15</v>
      </c>
      <c r="C237" t="s">
        <v>489</v>
      </c>
      <c r="D237" t="s">
        <v>490</v>
      </c>
      <c r="E237">
        <v>36.1</v>
      </c>
      <c r="F237">
        <v>37</v>
      </c>
      <c r="G237">
        <v>37</v>
      </c>
      <c r="H237">
        <v>35.200000000000003</v>
      </c>
      <c r="I237">
        <v>37</v>
      </c>
      <c r="J237">
        <v>328875</v>
      </c>
      <c r="K237">
        <v>9000</v>
      </c>
      <c r="L237" t="s">
        <v>18</v>
      </c>
      <c r="M237">
        <v>75.5</v>
      </c>
      <c r="N237">
        <v>35.15</v>
      </c>
    </row>
    <row r="238" spans="1:14" x14ac:dyDescent="0.25">
      <c r="A238" t="s">
        <v>14</v>
      </c>
      <c r="B238" t="s">
        <v>15</v>
      </c>
      <c r="C238" t="s">
        <v>491</v>
      </c>
      <c r="D238" t="s">
        <v>492</v>
      </c>
      <c r="E238">
        <v>9.9</v>
      </c>
      <c r="F238">
        <v>9.8000000000000007</v>
      </c>
      <c r="G238">
        <v>10.35</v>
      </c>
      <c r="H238">
        <v>9.4499999999999993</v>
      </c>
      <c r="I238">
        <v>9.4499999999999993</v>
      </c>
      <c r="J238">
        <v>348300</v>
      </c>
      <c r="K238">
        <v>36000</v>
      </c>
      <c r="L238" t="s">
        <v>18</v>
      </c>
      <c r="M238">
        <v>28.9</v>
      </c>
      <c r="N238">
        <v>9.4499999999999993</v>
      </c>
    </row>
    <row r="239" spans="1:14" x14ac:dyDescent="0.25">
      <c r="A239" t="s">
        <v>14</v>
      </c>
      <c r="B239" t="s">
        <v>15</v>
      </c>
      <c r="C239" t="s">
        <v>493</v>
      </c>
      <c r="D239" t="s">
        <v>494</v>
      </c>
      <c r="E239">
        <v>494.95</v>
      </c>
      <c r="F239">
        <v>480.4</v>
      </c>
      <c r="G239">
        <v>485</v>
      </c>
      <c r="H239">
        <v>462.1</v>
      </c>
      <c r="I239">
        <v>468.5</v>
      </c>
      <c r="J239">
        <v>7479862.5</v>
      </c>
      <c r="K239">
        <v>15750</v>
      </c>
      <c r="L239" t="s">
        <v>18</v>
      </c>
      <c r="M239">
        <v>607.4</v>
      </c>
      <c r="N239">
        <v>219.45</v>
      </c>
    </row>
    <row r="240" spans="1:14" x14ac:dyDescent="0.25">
      <c r="A240" t="s">
        <v>14</v>
      </c>
      <c r="B240" t="s">
        <v>15</v>
      </c>
      <c r="C240" t="s">
        <v>495</v>
      </c>
      <c r="D240" t="s">
        <v>496</v>
      </c>
      <c r="E240">
        <v>21.9</v>
      </c>
      <c r="F240">
        <v>21.5</v>
      </c>
      <c r="G240">
        <v>21.5</v>
      </c>
      <c r="H240">
        <v>21.15</v>
      </c>
      <c r="I240">
        <v>21.25</v>
      </c>
      <c r="J240">
        <v>770600</v>
      </c>
      <c r="K240">
        <v>36000</v>
      </c>
      <c r="L240" t="s">
        <v>18</v>
      </c>
      <c r="M240">
        <v>301</v>
      </c>
      <c r="N240">
        <v>21</v>
      </c>
    </row>
    <row r="241" spans="1:14" x14ac:dyDescent="0.25">
      <c r="A241" t="s">
        <v>14</v>
      </c>
      <c r="B241" t="s">
        <v>15</v>
      </c>
      <c r="C241" t="s">
        <v>497</v>
      </c>
      <c r="D241" t="s">
        <v>498</v>
      </c>
      <c r="E241">
        <v>45.5</v>
      </c>
      <c r="F241">
        <v>43.1</v>
      </c>
      <c r="G241">
        <v>45.5</v>
      </c>
      <c r="H241">
        <v>43</v>
      </c>
      <c r="I241">
        <v>45.5</v>
      </c>
      <c r="J241">
        <v>528700</v>
      </c>
      <c r="K241">
        <v>12000</v>
      </c>
      <c r="L241" t="s">
        <v>18</v>
      </c>
      <c r="M241">
        <v>84.45</v>
      </c>
      <c r="N241">
        <v>43</v>
      </c>
    </row>
    <row r="242" spans="1:14" x14ac:dyDescent="0.25">
      <c r="A242" t="s">
        <v>14</v>
      </c>
      <c r="B242" t="s">
        <v>33</v>
      </c>
      <c r="C242" t="s">
        <v>499</v>
      </c>
      <c r="D242" t="s">
        <v>500</v>
      </c>
      <c r="E242">
        <v>83.05</v>
      </c>
      <c r="F242">
        <v>82</v>
      </c>
      <c r="G242">
        <v>82</v>
      </c>
      <c r="H242">
        <v>79.2</v>
      </c>
      <c r="I242">
        <v>79.2</v>
      </c>
      <c r="J242">
        <v>515840</v>
      </c>
      <c r="K242">
        <v>6400</v>
      </c>
      <c r="L242" t="s">
        <v>18</v>
      </c>
      <c r="M242">
        <v>101.15</v>
      </c>
      <c r="N242">
        <v>25.5</v>
      </c>
    </row>
    <row r="243" spans="1:14" x14ac:dyDescent="0.25">
      <c r="A243" t="s">
        <v>14</v>
      </c>
      <c r="B243" t="s">
        <v>15</v>
      </c>
      <c r="C243" t="s">
        <v>501</v>
      </c>
      <c r="D243" t="s">
        <v>502</v>
      </c>
      <c r="E243">
        <v>85.05</v>
      </c>
      <c r="F243">
        <v>82.55</v>
      </c>
      <c r="G243">
        <v>84.95</v>
      </c>
      <c r="H243">
        <v>78.349999999999994</v>
      </c>
      <c r="I243">
        <v>84.9</v>
      </c>
      <c r="J243">
        <v>3502680</v>
      </c>
      <c r="K243">
        <v>43200</v>
      </c>
      <c r="L243" t="s">
        <v>18</v>
      </c>
      <c r="M243">
        <v>143</v>
      </c>
      <c r="N243">
        <v>72</v>
      </c>
    </row>
    <row r="244" spans="1:14" x14ac:dyDescent="0.25">
      <c r="A244" t="s">
        <v>14</v>
      </c>
      <c r="B244" t="s">
        <v>15</v>
      </c>
      <c r="C244" t="s">
        <v>503</v>
      </c>
      <c r="D244" t="s">
        <v>504</v>
      </c>
      <c r="E244">
        <v>81.5</v>
      </c>
      <c r="F244">
        <v>81</v>
      </c>
      <c r="G244">
        <v>81.5</v>
      </c>
      <c r="H244">
        <v>81</v>
      </c>
      <c r="I244">
        <v>81</v>
      </c>
      <c r="J244">
        <v>1167300</v>
      </c>
      <c r="K244">
        <v>14400</v>
      </c>
      <c r="L244" t="s">
        <v>18</v>
      </c>
      <c r="M244">
        <v>119.1</v>
      </c>
      <c r="N244">
        <v>51.6</v>
      </c>
    </row>
    <row r="245" spans="1:14" x14ac:dyDescent="0.25">
      <c r="A245" t="s">
        <v>14</v>
      </c>
      <c r="B245" t="s">
        <v>33</v>
      </c>
      <c r="C245" t="s">
        <v>505</v>
      </c>
      <c r="D245" t="s">
        <v>506</v>
      </c>
      <c r="E245">
        <v>55.6</v>
      </c>
      <c r="F245">
        <v>58.2</v>
      </c>
      <c r="G245">
        <v>58.2</v>
      </c>
      <c r="H245">
        <v>54</v>
      </c>
      <c r="I245">
        <v>56.65</v>
      </c>
      <c r="J245">
        <v>1194750</v>
      </c>
      <c r="K245">
        <v>21000</v>
      </c>
      <c r="L245" t="s">
        <v>18</v>
      </c>
      <c r="M245">
        <v>72.900000000000006</v>
      </c>
      <c r="N245">
        <v>37.049999999999997</v>
      </c>
    </row>
    <row r="246" spans="1:14" x14ac:dyDescent="0.25">
      <c r="A246" t="s">
        <v>14</v>
      </c>
      <c r="B246" t="s">
        <v>15</v>
      </c>
      <c r="C246" t="s">
        <v>507</v>
      </c>
      <c r="D246" t="s">
        <v>508</v>
      </c>
      <c r="E246">
        <v>59</v>
      </c>
      <c r="F246">
        <v>58</v>
      </c>
      <c r="G246">
        <v>60.9</v>
      </c>
      <c r="H246">
        <v>58</v>
      </c>
      <c r="I246">
        <v>60.9</v>
      </c>
      <c r="J246">
        <v>143080</v>
      </c>
      <c r="K246">
        <v>2400</v>
      </c>
      <c r="L246" t="s">
        <v>18</v>
      </c>
      <c r="M246">
        <v>119.95</v>
      </c>
      <c r="N246">
        <v>55.75</v>
      </c>
    </row>
    <row r="247" spans="1:14" x14ac:dyDescent="0.25">
      <c r="A247" t="s">
        <v>14</v>
      </c>
      <c r="B247" t="s">
        <v>15</v>
      </c>
      <c r="C247" t="s">
        <v>509</v>
      </c>
      <c r="D247" t="s">
        <v>510</v>
      </c>
      <c r="E247">
        <v>172.5</v>
      </c>
      <c r="F247">
        <v>172.55</v>
      </c>
      <c r="G247">
        <v>174.95</v>
      </c>
      <c r="H247">
        <v>170.2</v>
      </c>
      <c r="I247">
        <v>171.05</v>
      </c>
      <c r="J247">
        <v>22972600</v>
      </c>
      <c r="K247">
        <v>133600</v>
      </c>
      <c r="L247" t="s">
        <v>18</v>
      </c>
      <c r="M247">
        <v>229.9</v>
      </c>
      <c r="N247">
        <v>127</v>
      </c>
    </row>
    <row r="248" spans="1:14" x14ac:dyDescent="0.25">
      <c r="A248" t="s">
        <v>14</v>
      </c>
      <c r="B248" t="s">
        <v>15</v>
      </c>
      <c r="C248" t="s">
        <v>511</v>
      </c>
      <c r="D248" t="s">
        <v>512</v>
      </c>
      <c r="E248">
        <v>12.65</v>
      </c>
      <c r="F248">
        <v>13.25</v>
      </c>
      <c r="G248">
        <v>13.25</v>
      </c>
      <c r="H248">
        <v>13.25</v>
      </c>
      <c r="I248">
        <v>13.25</v>
      </c>
      <c r="J248">
        <v>159000</v>
      </c>
      <c r="K248">
        <v>12000</v>
      </c>
      <c r="L248" t="s">
        <v>18</v>
      </c>
      <c r="M248">
        <v>43.05</v>
      </c>
      <c r="N248">
        <v>10.95</v>
      </c>
    </row>
    <row r="249" spans="1:14" x14ac:dyDescent="0.25">
      <c r="A249" t="s">
        <v>14</v>
      </c>
      <c r="B249" t="s">
        <v>15</v>
      </c>
      <c r="C249" t="s">
        <v>513</v>
      </c>
      <c r="D249" t="s">
        <v>514</v>
      </c>
      <c r="E249">
        <v>87.05</v>
      </c>
      <c r="F249">
        <v>85.8</v>
      </c>
      <c r="G249">
        <v>85.8</v>
      </c>
      <c r="H249">
        <v>77</v>
      </c>
      <c r="I249">
        <v>80.349999999999994</v>
      </c>
      <c r="J249">
        <v>3760680</v>
      </c>
      <c r="K249">
        <v>46800</v>
      </c>
      <c r="L249" t="s">
        <v>18</v>
      </c>
      <c r="M249">
        <v>113.4</v>
      </c>
      <c r="N249">
        <v>71</v>
      </c>
    </row>
    <row r="250" spans="1:14" x14ac:dyDescent="0.25">
      <c r="A250" t="s">
        <v>14</v>
      </c>
      <c r="B250" t="s">
        <v>15</v>
      </c>
      <c r="C250" t="s">
        <v>515</v>
      </c>
      <c r="D250" t="s">
        <v>516</v>
      </c>
      <c r="E250">
        <v>101.45</v>
      </c>
      <c r="F250">
        <v>97.2</v>
      </c>
      <c r="G250">
        <v>99</v>
      </c>
      <c r="H250">
        <v>95</v>
      </c>
      <c r="I250">
        <v>98</v>
      </c>
      <c r="J250">
        <v>1702520</v>
      </c>
      <c r="K250">
        <v>17600</v>
      </c>
      <c r="L250" t="s">
        <v>18</v>
      </c>
      <c r="M250">
        <v>206.85</v>
      </c>
      <c r="N250">
        <v>95</v>
      </c>
    </row>
    <row r="251" spans="1:14" x14ac:dyDescent="0.25">
      <c r="A251" t="s">
        <v>14</v>
      </c>
      <c r="B251" t="s">
        <v>15</v>
      </c>
      <c r="C251" t="s">
        <v>517</v>
      </c>
      <c r="D251" t="s">
        <v>518</v>
      </c>
      <c r="E251">
        <v>201.3</v>
      </c>
      <c r="F251">
        <v>202</v>
      </c>
      <c r="G251">
        <v>241.55</v>
      </c>
      <c r="H251">
        <v>198.4</v>
      </c>
      <c r="I251">
        <v>239.95</v>
      </c>
      <c r="J251">
        <v>22556400</v>
      </c>
      <c r="K251">
        <v>97000</v>
      </c>
      <c r="L251" t="s">
        <v>18</v>
      </c>
      <c r="M251">
        <v>241.55</v>
      </c>
      <c r="N251">
        <v>126.3</v>
      </c>
    </row>
    <row r="252" spans="1:14" x14ac:dyDescent="0.25">
      <c r="A252" t="s">
        <v>14</v>
      </c>
      <c r="B252" t="s">
        <v>33</v>
      </c>
      <c r="C252" t="s">
        <v>519</v>
      </c>
      <c r="D252" t="s">
        <v>520</v>
      </c>
      <c r="E252">
        <v>3.65</v>
      </c>
      <c r="F252">
        <v>3.8</v>
      </c>
      <c r="G252">
        <v>3.8</v>
      </c>
      <c r="H252">
        <v>3.65</v>
      </c>
      <c r="I252">
        <v>3.65</v>
      </c>
      <c r="J252">
        <v>322400</v>
      </c>
      <c r="K252">
        <v>88000</v>
      </c>
      <c r="L252" t="s">
        <v>18</v>
      </c>
      <c r="M252">
        <v>10.6</v>
      </c>
      <c r="N252">
        <v>3.05</v>
      </c>
    </row>
    <row r="253" spans="1:14" x14ac:dyDescent="0.25">
      <c r="A253" t="s">
        <v>14</v>
      </c>
      <c r="B253" t="s">
        <v>15</v>
      </c>
      <c r="C253" t="s">
        <v>521</v>
      </c>
      <c r="D253" t="s">
        <v>522</v>
      </c>
      <c r="E253">
        <v>15.65</v>
      </c>
      <c r="F253">
        <v>15.95</v>
      </c>
      <c r="G253">
        <v>16.3</v>
      </c>
      <c r="H253">
        <v>15.7</v>
      </c>
      <c r="I253">
        <v>15.7</v>
      </c>
      <c r="J253">
        <v>191175</v>
      </c>
      <c r="K253">
        <v>12000</v>
      </c>
      <c r="L253" t="s">
        <v>18</v>
      </c>
      <c r="M253">
        <v>85</v>
      </c>
      <c r="N253">
        <v>15.55</v>
      </c>
    </row>
    <row r="254" spans="1:14" x14ac:dyDescent="0.25">
      <c r="A254" t="s">
        <v>14</v>
      </c>
      <c r="B254" t="s">
        <v>15</v>
      </c>
      <c r="C254" t="s">
        <v>523</v>
      </c>
      <c r="D254" t="s">
        <v>524</v>
      </c>
      <c r="E254">
        <v>26.85</v>
      </c>
      <c r="F254">
        <v>24.55</v>
      </c>
      <c r="G254">
        <v>25</v>
      </c>
      <c r="H254">
        <v>24.55</v>
      </c>
      <c r="I254">
        <v>25</v>
      </c>
      <c r="J254">
        <v>119280</v>
      </c>
      <c r="K254">
        <v>4800</v>
      </c>
      <c r="L254" t="s">
        <v>18</v>
      </c>
      <c r="M254">
        <v>54</v>
      </c>
      <c r="N254">
        <v>23.35</v>
      </c>
    </row>
    <row r="255" spans="1:14" x14ac:dyDescent="0.25">
      <c r="A255" t="s">
        <v>14</v>
      </c>
      <c r="B255" t="s">
        <v>15</v>
      </c>
      <c r="C255" t="s">
        <v>525</v>
      </c>
      <c r="D255" t="s">
        <v>526</v>
      </c>
      <c r="E255">
        <v>15.4</v>
      </c>
      <c r="F255">
        <v>15.3</v>
      </c>
      <c r="G255">
        <v>15.5</v>
      </c>
      <c r="H255">
        <v>15.3</v>
      </c>
      <c r="I255">
        <v>15.4</v>
      </c>
      <c r="J255">
        <v>138250</v>
      </c>
      <c r="K255">
        <v>9000</v>
      </c>
      <c r="L255" t="s">
        <v>18</v>
      </c>
      <c r="M255">
        <v>27.4</v>
      </c>
      <c r="N255">
        <v>15.25</v>
      </c>
    </row>
    <row r="256" spans="1:14" x14ac:dyDescent="0.25">
      <c r="A256" t="s">
        <v>14</v>
      </c>
      <c r="B256" t="s">
        <v>15</v>
      </c>
      <c r="C256" t="s">
        <v>527</v>
      </c>
      <c r="D256" t="s">
        <v>528</v>
      </c>
      <c r="E256">
        <v>114.7</v>
      </c>
      <c r="F256">
        <v>120</v>
      </c>
      <c r="G256">
        <v>120</v>
      </c>
      <c r="H256">
        <v>114</v>
      </c>
      <c r="I256">
        <v>115.9</v>
      </c>
      <c r="J256">
        <v>2789220</v>
      </c>
      <c r="K256">
        <v>24000</v>
      </c>
      <c r="L256" t="s">
        <v>18</v>
      </c>
      <c r="M256">
        <v>156</v>
      </c>
      <c r="N256">
        <v>77.150000000000006</v>
      </c>
    </row>
    <row r="257" spans="1:14" x14ac:dyDescent="0.25">
      <c r="A257" t="s">
        <v>14</v>
      </c>
      <c r="B257" t="s">
        <v>15</v>
      </c>
      <c r="C257" t="s">
        <v>529</v>
      </c>
      <c r="D257" t="s">
        <v>530</v>
      </c>
      <c r="E257">
        <v>58.55</v>
      </c>
      <c r="F257">
        <v>55.65</v>
      </c>
      <c r="G257">
        <v>60.75</v>
      </c>
      <c r="H257">
        <v>55.65</v>
      </c>
      <c r="I257">
        <v>55.65</v>
      </c>
      <c r="J257">
        <v>4645185</v>
      </c>
      <c r="K257">
        <v>82200</v>
      </c>
      <c r="L257" t="s">
        <v>18</v>
      </c>
      <c r="M257">
        <v>390.35</v>
      </c>
      <c r="N257">
        <v>46.75</v>
      </c>
    </row>
    <row r="258" spans="1:14" x14ac:dyDescent="0.25">
      <c r="A258" t="s">
        <v>14</v>
      </c>
      <c r="B258" t="s">
        <v>15</v>
      </c>
      <c r="C258" t="s">
        <v>531</v>
      </c>
      <c r="D258" t="s">
        <v>532</v>
      </c>
      <c r="E258">
        <v>311.2</v>
      </c>
      <c r="F258">
        <v>320</v>
      </c>
      <c r="G258">
        <v>320</v>
      </c>
      <c r="H258">
        <v>308.45</v>
      </c>
      <c r="I258">
        <v>310.95</v>
      </c>
      <c r="J258">
        <v>22533740</v>
      </c>
      <c r="K258">
        <v>72000</v>
      </c>
      <c r="L258" t="s">
        <v>18</v>
      </c>
      <c r="M258">
        <v>360</v>
      </c>
      <c r="N258">
        <v>144.9</v>
      </c>
    </row>
    <row r="259" spans="1:14" x14ac:dyDescent="0.25">
      <c r="A259" t="s">
        <v>14</v>
      </c>
      <c r="B259" t="s">
        <v>15</v>
      </c>
      <c r="C259" t="s">
        <v>533</v>
      </c>
      <c r="D259" t="s">
        <v>534</v>
      </c>
      <c r="E259">
        <v>64.95</v>
      </c>
      <c r="F259">
        <v>64.900000000000006</v>
      </c>
      <c r="G259">
        <v>64.95</v>
      </c>
      <c r="H259">
        <v>61.55</v>
      </c>
      <c r="I259">
        <v>64.400000000000006</v>
      </c>
      <c r="J259">
        <v>381360</v>
      </c>
      <c r="K259">
        <v>6000</v>
      </c>
      <c r="L259" t="s">
        <v>18</v>
      </c>
      <c r="M259">
        <v>140</v>
      </c>
      <c r="N259">
        <v>51</v>
      </c>
    </row>
    <row r="260" spans="1:14" x14ac:dyDescent="0.25">
      <c r="A260" t="s">
        <v>14</v>
      </c>
      <c r="B260" t="s">
        <v>15</v>
      </c>
      <c r="C260" t="s">
        <v>535</v>
      </c>
      <c r="D260" t="s">
        <v>536</v>
      </c>
      <c r="E260">
        <v>116.45</v>
      </c>
      <c r="F260">
        <v>117.5</v>
      </c>
      <c r="G260">
        <v>118</v>
      </c>
      <c r="H260">
        <v>117.5</v>
      </c>
      <c r="I260">
        <v>117.9</v>
      </c>
      <c r="J260">
        <v>1304655</v>
      </c>
      <c r="K260">
        <v>11100</v>
      </c>
      <c r="L260" t="s">
        <v>18</v>
      </c>
      <c r="M260">
        <v>276.89999999999998</v>
      </c>
      <c r="N260">
        <v>100</v>
      </c>
    </row>
    <row r="261" spans="1:14" x14ac:dyDescent="0.25">
      <c r="A261" t="s">
        <v>14</v>
      </c>
      <c r="B261" t="s">
        <v>15</v>
      </c>
      <c r="C261" t="s">
        <v>537</v>
      </c>
      <c r="D261" t="s">
        <v>538</v>
      </c>
      <c r="E261">
        <v>300.8</v>
      </c>
      <c r="F261">
        <v>302</v>
      </c>
      <c r="G261">
        <v>306.89999999999998</v>
      </c>
      <c r="H261">
        <v>302</v>
      </c>
      <c r="I261">
        <v>304.35000000000002</v>
      </c>
      <c r="J261">
        <v>1213160</v>
      </c>
      <c r="K261">
        <v>4000</v>
      </c>
      <c r="L261" t="s">
        <v>18</v>
      </c>
      <c r="M261">
        <v>355</v>
      </c>
      <c r="N261">
        <v>98.15</v>
      </c>
    </row>
    <row r="262" spans="1:14" x14ac:dyDescent="0.25">
      <c r="A262" t="s">
        <v>14</v>
      </c>
      <c r="B262" t="s">
        <v>15</v>
      </c>
      <c r="C262" t="s">
        <v>539</v>
      </c>
      <c r="D262" t="s">
        <v>540</v>
      </c>
      <c r="E262">
        <v>34</v>
      </c>
      <c r="F262">
        <v>34</v>
      </c>
      <c r="G262">
        <v>34.75</v>
      </c>
      <c r="H262">
        <v>34</v>
      </c>
      <c r="I262">
        <v>34.75</v>
      </c>
      <c r="J262">
        <v>413100</v>
      </c>
      <c r="K262">
        <v>12000</v>
      </c>
      <c r="L262" t="s">
        <v>18</v>
      </c>
      <c r="M262">
        <v>74.45</v>
      </c>
      <c r="N262">
        <v>28.1</v>
      </c>
    </row>
    <row r="263" spans="1:14" x14ac:dyDescent="0.25">
      <c r="A263" t="s">
        <v>14</v>
      </c>
      <c r="B263" t="s">
        <v>15</v>
      </c>
      <c r="C263" t="s">
        <v>541</v>
      </c>
      <c r="D263" t="s">
        <v>542</v>
      </c>
      <c r="E263">
        <v>83</v>
      </c>
      <c r="F263">
        <v>82.5</v>
      </c>
      <c r="G263">
        <v>82.5</v>
      </c>
      <c r="H263">
        <v>80.5</v>
      </c>
      <c r="I263">
        <v>81.2</v>
      </c>
      <c r="J263">
        <v>1045760</v>
      </c>
      <c r="K263">
        <v>12800</v>
      </c>
      <c r="L263" t="s">
        <v>18</v>
      </c>
      <c r="M263">
        <v>107.55</v>
      </c>
      <c r="N263">
        <v>67.95</v>
      </c>
    </row>
    <row r="264" spans="1:14" x14ac:dyDescent="0.25">
      <c r="A264" t="s">
        <v>14</v>
      </c>
      <c r="B264" t="s">
        <v>15</v>
      </c>
      <c r="C264" t="s">
        <v>543</v>
      </c>
      <c r="D264" t="s">
        <v>544</v>
      </c>
      <c r="E264">
        <v>1538.65</v>
      </c>
      <c r="F264">
        <v>1549</v>
      </c>
      <c r="G264">
        <v>1600</v>
      </c>
      <c r="H264">
        <v>1506.65</v>
      </c>
      <c r="I264">
        <v>1581.75</v>
      </c>
      <c r="J264">
        <v>93643331.25</v>
      </c>
      <c r="K264">
        <v>60675</v>
      </c>
      <c r="L264" t="s">
        <v>18</v>
      </c>
      <c r="M264">
        <v>3064</v>
      </c>
      <c r="N264">
        <v>1000</v>
      </c>
    </row>
    <row r="265" spans="1:14" x14ac:dyDescent="0.25">
      <c r="A265" t="s">
        <v>14</v>
      </c>
      <c r="B265" t="s">
        <v>33</v>
      </c>
      <c r="C265" t="s">
        <v>545</v>
      </c>
      <c r="D265" t="s">
        <v>546</v>
      </c>
      <c r="E265">
        <v>448</v>
      </c>
      <c r="F265">
        <v>442.55</v>
      </c>
      <c r="G265">
        <v>457</v>
      </c>
      <c r="H265">
        <v>442</v>
      </c>
      <c r="I265">
        <v>450.25</v>
      </c>
      <c r="J265">
        <v>2422690</v>
      </c>
      <c r="K265">
        <v>5400</v>
      </c>
      <c r="L265" t="s">
        <v>18</v>
      </c>
      <c r="M265">
        <v>835</v>
      </c>
      <c r="N265">
        <v>186.25</v>
      </c>
    </row>
    <row r="266" spans="1:14" x14ac:dyDescent="0.25">
      <c r="A266" t="s">
        <v>14</v>
      </c>
      <c r="B266" t="s">
        <v>15</v>
      </c>
      <c r="C266" t="s">
        <v>547</v>
      </c>
      <c r="D266" t="s">
        <v>548</v>
      </c>
      <c r="E266">
        <v>231.05</v>
      </c>
      <c r="F266">
        <v>230.65</v>
      </c>
      <c r="G266">
        <v>242.6</v>
      </c>
      <c r="H266">
        <v>225</v>
      </c>
      <c r="I266">
        <v>237.7</v>
      </c>
      <c r="J266">
        <v>5186270</v>
      </c>
      <c r="K266">
        <v>22300</v>
      </c>
      <c r="L266" t="s">
        <v>18</v>
      </c>
      <c r="M266">
        <v>930</v>
      </c>
      <c r="N266">
        <v>200.1</v>
      </c>
    </row>
    <row r="267" spans="1:14" x14ac:dyDescent="0.25">
      <c r="A267" t="s">
        <v>14</v>
      </c>
      <c r="B267" t="s">
        <v>33</v>
      </c>
      <c r="C267" t="s">
        <v>549</v>
      </c>
      <c r="D267" t="s">
        <v>550</v>
      </c>
      <c r="E267">
        <v>280</v>
      </c>
      <c r="F267">
        <v>293</v>
      </c>
      <c r="G267">
        <v>293.89999999999998</v>
      </c>
      <c r="H267">
        <v>293</v>
      </c>
      <c r="I267">
        <v>293</v>
      </c>
      <c r="J267">
        <v>2638400</v>
      </c>
      <c r="K267">
        <v>9000</v>
      </c>
      <c r="L267" t="s">
        <v>18</v>
      </c>
      <c r="M267">
        <v>318.10000000000002</v>
      </c>
      <c r="N267">
        <v>122.85</v>
      </c>
    </row>
    <row r="268" spans="1:14" x14ac:dyDescent="0.25">
      <c r="A268" t="s">
        <v>14</v>
      </c>
      <c r="B268" t="s">
        <v>15</v>
      </c>
      <c r="C268" t="s">
        <v>551</v>
      </c>
      <c r="D268" t="s">
        <v>552</v>
      </c>
      <c r="E268">
        <v>185.2</v>
      </c>
      <c r="F268">
        <v>199</v>
      </c>
      <c r="G268">
        <v>212</v>
      </c>
      <c r="H268">
        <v>197.8</v>
      </c>
      <c r="I268">
        <v>197.85</v>
      </c>
      <c r="J268">
        <v>981270</v>
      </c>
      <c r="K268">
        <v>4800</v>
      </c>
      <c r="L268" t="s">
        <v>18</v>
      </c>
      <c r="M268">
        <v>294</v>
      </c>
      <c r="N268">
        <v>145</v>
      </c>
    </row>
    <row r="269" spans="1:14" x14ac:dyDescent="0.25">
      <c r="A269" t="s">
        <v>14</v>
      </c>
      <c r="B269" t="s">
        <v>15</v>
      </c>
      <c r="C269" t="s">
        <v>553</v>
      </c>
      <c r="D269" t="s">
        <v>554</v>
      </c>
      <c r="E269">
        <v>38.299999999999997</v>
      </c>
      <c r="F269">
        <v>38</v>
      </c>
      <c r="G269">
        <v>39.200000000000003</v>
      </c>
      <c r="H269">
        <v>38</v>
      </c>
      <c r="I269">
        <v>39.200000000000003</v>
      </c>
      <c r="J269">
        <v>233520</v>
      </c>
      <c r="K269">
        <v>6000</v>
      </c>
      <c r="L269" t="s">
        <v>18</v>
      </c>
      <c r="M269">
        <v>84</v>
      </c>
      <c r="N269">
        <v>34.1</v>
      </c>
    </row>
    <row r="270" spans="1:14" x14ac:dyDescent="0.25">
      <c r="A270" t="s">
        <v>14</v>
      </c>
      <c r="B270" t="s">
        <v>15</v>
      </c>
      <c r="C270" t="s">
        <v>555</v>
      </c>
      <c r="D270" t="s">
        <v>556</v>
      </c>
      <c r="E270">
        <v>75.099999999999994</v>
      </c>
      <c r="F270">
        <v>76</v>
      </c>
      <c r="G270">
        <v>76</v>
      </c>
      <c r="H270">
        <v>76</v>
      </c>
      <c r="I270">
        <v>76</v>
      </c>
      <c r="J270">
        <v>91200</v>
      </c>
      <c r="K270">
        <v>1200</v>
      </c>
      <c r="L270" t="s">
        <v>18</v>
      </c>
      <c r="M270">
        <v>108.95</v>
      </c>
      <c r="N270">
        <v>63.6</v>
      </c>
    </row>
    <row r="271" spans="1:14" x14ac:dyDescent="0.25">
      <c r="A271" t="s">
        <v>14</v>
      </c>
      <c r="B271" t="s">
        <v>15</v>
      </c>
      <c r="C271" t="s">
        <v>557</v>
      </c>
      <c r="D271" t="s">
        <v>558</v>
      </c>
      <c r="E271">
        <v>41.25</v>
      </c>
      <c r="F271">
        <v>41.05</v>
      </c>
      <c r="G271">
        <v>41.05</v>
      </c>
      <c r="H271">
        <v>40.9</v>
      </c>
      <c r="I271">
        <v>41</v>
      </c>
      <c r="J271">
        <v>147540</v>
      </c>
      <c r="K271">
        <v>3600</v>
      </c>
      <c r="L271" t="s">
        <v>18</v>
      </c>
      <c r="M271">
        <v>90</v>
      </c>
      <c r="N271">
        <v>40.9</v>
      </c>
    </row>
    <row r="272" spans="1:14" x14ac:dyDescent="0.25">
      <c r="A272" t="s">
        <v>14</v>
      </c>
      <c r="B272" t="s">
        <v>15</v>
      </c>
      <c r="C272" t="s">
        <v>559</v>
      </c>
      <c r="D272" t="s">
        <v>560</v>
      </c>
      <c r="E272">
        <v>25.3</v>
      </c>
      <c r="F272">
        <v>25.75</v>
      </c>
      <c r="G272">
        <v>27.95</v>
      </c>
      <c r="H272">
        <v>25.65</v>
      </c>
      <c r="I272">
        <v>27</v>
      </c>
      <c r="J272">
        <v>1448700</v>
      </c>
      <c r="K272">
        <v>54000</v>
      </c>
      <c r="L272" t="s">
        <v>18</v>
      </c>
      <c r="M272">
        <v>78</v>
      </c>
      <c r="N272">
        <v>25.1</v>
      </c>
    </row>
    <row r="273" spans="1:14" x14ac:dyDescent="0.25">
      <c r="A273" t="s">
        <v>14</v>
      </c>
      <c r="B273" t="s">
        <v>15</v>
      </c>
      <c r="C273" t="s">
        <v>561</v>
      </c>
      <c r="D273" t="s">
        <v>562</v>
      </c>
      <c r="E273">
        <v>652</v>
      </c>
      <c r="F273">
        <v>620.1</v>
      </c>
      <c r="G273">
        <v>639</v>
      </c>
      <c r="H273">
        <v>619.4</v>
      </c>
      <c r="I273">
        <v>619.4</v>
      </c>
      <c r="J273">
        <v>1868925</v>
      </c>
      <c r="K273">
        <v>3000</v>
      </c>
      <c r="L273" t="s">
        <v>18</v>
      </c>
      <c r="M273">
        <v>662</v>
      </c>
      <c r="N273">
        <v>311.64999999999998</v>
      </c>
    </row>
    <row r="274" spans="1:14" x14ac:dyDescent="0.25">
      <c r="A274" t="s">
        <v>14</v>
      </c>
      <c r="B274" t="s">
        <v>15</v>
      </c>
      <c r="C274" t="s">
        <v>563</v>
      </c>
      <c r="D274" t="s">
        <v>564</v>
      </c>
      <c r="E274">
        <v>216.05</v>
      </c>
      <c r="F274">
        <v>216.05</v>
      </c>
      <c r="G274">
        <v>236.95</v>
      </c>
      <c r="H274">
        <v>216</v>
      </c>
      <c r="I274">
        <v>220.3</v>
      </c>
      <c r="J274">
        <v>4679840</v>
      </c>
      <c r="K274">
        <v>20800</v>
      </c>
      <c r="L274" t="s">
        <v>18</v>
      </c>
      <c r="M274">
        <v>306.39999999999998</v>
      </c>
      <c r="N274">
        <v>169</v>
      </c>
    </row>
    <row r="275" spans="1:14" x14ac:dyDescent="0.25">
      <c r="A275" t="s">
        <v>14</v>
      </c>
      <c r="B275" t="s">
        <v>15</v>
      </c>
      <c r="C275" t="s">
        <v>565</v>
      </c>
      <c r="D275" t="s">
        <v>566</v>
      </c>
      <c r="E275">
        <v>86</v>
      </c>
      <c r="F275">
        <v>84.15</v>
      </c>
      <c r="G275">
        <v>84.15</v>
      </c>
      <c r="H275">
        <v>80.400000000000006</v>
      </c>
      <c r="I275">
        <v>83</v>
      </c>
      <c r="J275">
        <v>736000</v>
      </c>
      <c r="K275">
        <v>9000</v>
      </c>
      <c r="L275" t="s">
        <v>18</v>
      </c>
      <c r="M275">
        <v>126.95</v>
      </c>
      <c r="N275">
        <v>63.05</v>
      </c>
    </row>
    <row r="276" spans="1:14" x14ac:dyDescent="0.25">
      <c r="A276" t="s">
        <v>14</v>
      </c>
      <c r="B276" t="s">
        <v>15</v>
      </c>
      <c r="C276" t="s">
        <v>567</v>
      </c>
      <c r="D276" t="s">
        <v>568</v>
      </c>
      <c r="E276">
        <v>146.25</v>
      </c>
      <c r="F276">
        <v>146.5</v>
      </c>
      <c r="G276">
        <v>146.5</v>
      </c>
      <c r="H276">
        <v>134.25</v>
      </c>
      <c r="I276">
        <v>136.75</v>
      </c>
      <c r="J276">
        <v>8327340</v>
      </c>
      <c r="K276">
        <v>59400</v>
      </c>
      <c r="L276" t="s">
        <v>18</v>
      </c>
      <c r="M276">
        <v>268.89999999999998</v>
      </c>
      <c r="N276">
        <v>134.25</v>
      </c>
    </row>
    <row r="277" spans="1:14" x14ac:dyDescent="0.25">
      <c r="A277" t="s">
        <v>14</v>
      </c>
      <c r="B277" t="s">
        <v>15</v>
      </c>
      <c r="C277" t="s">
        <v>569</v>
      </c>
      <c r="D277" t="s">
        <v>570</v>
      </c>
      <c r="E277">
        <v>106.65</v>
      </c>
      <c r="F277">
        <v>101.35</v>
      </c>
      <c r="G277">
        <v>101.35</v>
      </c>
      <c r="H277">
        <v>101.35</v>
      </c>
      <c r="I277">
        <v>101.35</v>
      </c>
      <c r="J277">
        <v>152025</v>
      </c>
      <c r="K277">
        <v>1500</v>
      </c>
      <c r="L277" t="s">
        <v>18</v>
      </c>
      <c r="M277">
        <v>160</v>
      </c>
      <c r="N277">
        <v>60.1</v>
      </c>
    </row>
    <row r="278" spans="1:14" x14ac:dyDescent="0.25">
      <c r="A278" t="s">
        <v>14</v>
      </c>
      <c r="B278" t="s">
        <v>15</v>
      </c>
      <c r="C278" t="s">
        <v>571</v>
      </c>
      <c r="D278" t="s">
        <v>572</v>
      </c>
      <c r="E278">
        <v>305</v>
      </c>
      <c r="F278">
        <v>303</v>
      </c>
      <c r="G278">
        <v>303</v>
      </c>
      <c r="H278">
        <v>300.25</v>
      </c>
      <c r="I278">
        <v>302</v>
      </c>
      <c r="J278">
        <v>543450</v>
      </c>
      <c r="K278">
        <v>1800</v>
      </c>
      <c r="L278" t="s">
        <v>18</v>
      </c>
      <c r="M278">
        <v>461</v>
      </c>
      <c r="N278">
        <v>280.05</v>
      </c>
    </row>
    <row r="279" spans="1:14" x14ac:dyDescent="0.25">
      <c r="A279" t="s">
        <v>14</v>
      </c>
      <c r="B279" t="s">
        <v>33</v>
      </c>
      <c r="C279" t="s">
        <v>573</v>
      </c>
      <c r="D279" t="s">
        <v>574</v>
      </c>
      <c r="E279">
        <v>65.3</v>
      </c>
      <c r="F279">
        <v>66</v>
      </c>
      <c r="G279">
        <v>66</v>
      </c>
      <c r="H279">
        <v>66</v>
      </c>
      <c r="I279">
        <v>66</v>
      </c>
      <c r="J279">
        <v>66000</v>
      </c>
      <c r="K279">
        <v>1000</v>
      </c>
      <c r="L279" t="s">
        <v>18</v>
      </c>
      <c r="M279">
        <v>99.5</v>
      </c>
      <c r="N279">
        <v>50.55</v>
      </c>
    </row>
    <row r="280" spans="1:14" x14ac:dyDescent="0.25">
      <c r="A280" t="s">
        <v>14</v>
      </c>
      <c r="B280" t="s">
        <v>575</v>
      </c>
      <c r="C280" t="s">
        <v>576</v>
      </c>
      <c r="D280" t="s">
        <v>577</v>
      </c>
      <c r="E280">
        <v>3.55</v>
      </c>
      <c r="F280">
        <v>3.55</v>
      </c>
      <c r="G280">
        <v>3.55</v>
      </c>
      <c r="H280">
        <v>3.55</v>
      </c>
      <c r="I280">
        <v>3.55</v>
      </c>
      <c r="J280">
        <v>10650</v>
      </c>
      <c r="K280">
        <v>3000</v>
      </c>
      <c r="L280" t="s">
        <v>18</v>
      </c>
      <c r="M280">
        <v>19.399999999999999</v>
      </c>
      <c r="N280">
        <v>3.55</v>
      </c>
    </row>
    <row r="281" spans="1:14" x14ac:dyDescent="0.25">
      <c r="A281" t="s">
        <v>14</v>
      </c>
      <c r="B281" t="s">
        <v>15</v>
      </c>
      <c r="C281" t="s">
        <v>578</v>
      </c>
      <c r="D281" t="s">
        <v>579</v>
      </c>
      <c r="E281">
        <v>258.8</v>
      </c>
      <c r="F281">
        <v>257.89999999999998</v>
      </c>
      <c r="G281">
        <v>267.5</v>
      </c>
      <c r="H281">
        <v>248</v>
      </c>
      <c r="I281">
        <v>257</v>
      </c>
      <c r="J281">
        <v>3634800</v>
      </c>
      <c r="K281">
        <v>14000</v>
      </c>
      <c r="L281" t="s">
        <v>18</v>
      </c>
      <c r="M281">
        <v>267.5</v>
      </c>
      <c r="N281">
        <v>150</v>
      </c>
    </row>
    <row r="282" spans="1:14" x14ac:dyDescent="0.25">
      <c r="A282" t="s">
        <v>14</v>
      </c>
      <c r="B282" t="s">
        <v>15</v>
      </c>
      <c r="C282" t="s">
        <v>580</v>
      </c>
      <c r="D282" t="s">
        <v>581</v>
      </c>
      <c r="E282">
        <v>205.7</v>
      </c>
      <c r="F282">
        <v>210</v>
      </c>
      <c r="G282">
        <v>210</v>
      </c>
      <c r="H282">
        <v>192.75</v>
      </c>
      <c r="I282">
        <v>195.55</v>
      </c>
      <c r="J282">
        <v>5930190</v>
      </c>
      <c r="K282">
        <v>29700</v>
      </c>
      <c r="L282" t="s">
        <v>18</v>
      </c>
      <c r="M282">
        <v>327.95</v>
      </c>
      <c r="N282">
        <v>165</v>
      </c>
    </row>
    <row r="283" spans="1:14" x14ac:dyDescent="0.25">
      <c r="A283" t="s">
        <v>14</v>
      </c>
      <c r="B283" t="s">
        <v>15</v>
      </c>
      <c r="C283" t="s">
        <v>582</v>
      </c>
      <c r="D283" t="s">
        <v>583</v>
      </c>
      <c r="E283">
        <v>20.350000000000001</v>
      </c>
      <c r="F283">
        <v>19.5</v>
      </c>
      <c r="G283">
        <v>19.5</v>
      </c>
      <c r="H283">
        <v>19.5</v>
      </c>
      <c r="I283">
        <v>19.5</v>
      </c>
      <c r="J283">
        <v>39000</v>
      </c>
      <c r="K283">
        <v>2000</v>
      </c>
      <c r="L283" t="s">
        <v>18</v>
      </c>
      <c r="M283">
        <v>29.1</v>
      </c>
      <c r="N283">
        <v>16.75</v>
      </c>
    </row>
    <row r="284" spans="1:14" x14ac:dyDescent="0.25">
      <c r="A284" t="s">
        <v>14</v>
      </c>
      <c r="B284" t="s">
        <v>15</v>
      </c>
      <c r="C284" t="s">
        <v>584</v>
      </c>
      <c r="D284" t="s">
        <v>585</v>
      </c>
      <c r="E284">
        <v>9.4499999999999993</v>
      </c>
      <c r="F284">
        <v>9.15</v>
      </c>
      <c r="G284">
        <v>9.75</v>
      </c>
      <c r="H284">
        <v>9.15</v>
      </c>
      <c r="I284">
        <v>9.5</v>
      </c>
      <c r="J284">
        <v>112650</v>
      </c>
      <c r="K284">
        <v>12000</v>
      </c>
      <c r="L284" t="s">
        <v>18</v>
      </c>
      <c r="M284">
        <v>42</v>
      </c>
      <c r="N284">
        <v>8.8000000000000007</v>
      </c>
    </row>
    <row r="285" spans="1:14" x14ac:dyDescent="0.25">
      <c r="A285" t="s">
        <v>14</v>
      </c>
      <c r="B285" t="s">
        <v>15</v>
      </c>
      <c r="C285" t="s">
        <v>586</v>
      </c>
      <c r="D285" t="s">
        <v>587</v>
      </c>
      <c r="E285">
        <v>14.5</v>
      </c>
      <c r="F285">
        <v>15.15</v>
      </c>
      <c r="G285">
        <v>15.2</v>
      </c>
      <c r="H285">
        <v>14.5</v>
      </c>
      <c r="I285">
        <v>14.5</v>
      </c>
      <c r="J285">
        <v>180150</v>
      </c>
      <c r="K285">
        <v>12000</v>
      </c>
      <c r="L285" t="s">
        <v>18</v>
      </c>
      <c r="M285">
        <v>29.75</v>
      </c>
      <c r="N285">
        <v>13.8</v>
      </c>
    </row>
    <row r="286" spans="1:14" x14ac:dyDescent="0.25">
      <c r="A286" t="s">
        <v>14</v>
      </c>
      <c r="B286" t="s">
        <v>33</v>
      </c>
      <c r="C286" t="s">
        <v>588</v>
      </c>
      <c r="D286" t="s">
        <v>589</v>
      </c>
      <c r="E286">
        <v>221</v>
      </c>
      <c r="F286">
        <v>222</v>
      </c>
      <c r="G286">
        <v>231</v>
      </c>
      <c r="H286">
        <v>218</v>
      </c>
      <c r="I286">
        <v>221.8</v>
      </c>
      <c r="J286">
        <v>3244875</v>
      </c>
      <c r="K286">
        <v>14500</v>
      </c>
      <c r="L286" t="s">
        <v>18</v>
      </c>
      <c r="M286">
        <v>356.75</v>
      </c>
      <c r="N286">
        <v>14.25</v>
      </c>
    </row>
    <row r="287" spans="1:14" x14ac:dyDescent="0.25">
      <c r="A287" t="s">
        <v>14</v>
      </c>
      <c r="B287" t="s">
        <v>15</v>
      </c>
      <c r="C287" t="s">
        <v>590</v>
      </c>
      <c r="D287" t="s">
        <v>591</v>
      </c>
      <c r="E287">
        <v>174</v>
      </c>
      <c r="F287">
        <v>183</v>
      </c>
      <c r="G287">
        <v>183</v>
      </c>
      <c r="H287">
        <v>177.5</v>
      </c>
      <c r="I287">
        <v>181</v>
      </c>
      <c r="J287">
        <v>376455</v>
      </c>
      <c r="K287">
        <v>2100</v>
      </c>
      <c r="L287" t="s">
        <v>18</v>
      </c>
      <c r="M287">
        <v>420</v>
      </c>
      <c r="N287">
        <v>163.19999999999999</v>
      </c>
    </row>
    <row r="288" spans="1:14" x14ac:dyDescent="0.25">
      <c r="A288" t="s">
        <v>14</v>
      </c>
      <c r="B288" t="s">
        <v>15</v>
      </c>
      <c r="C288" t="s">
        <v>592</v>
      </c>
      <c r="D288" t="s">
        <v>593</v>
      </c>
      <c r="E288">
        <v>354.5</v>
      </c>
      <c r="F288">
        <v>362</v>
      </c>
      <c r="G288">
        <v>362</v>
      </c>
      <c r="H288">
        <v>355</v>
      </c>
      <c r="I288">
        <v>355</v>
      </c>
      <c r="J288">
        <v>358500</v>
      </c>
      <c r="K288">
        <v>1000</v>
      </c>
      <c r="L288" t="s">
        <v>18</v>
      </c>
      <c r="M288">
        <v>367</v>
      </c>
      <c r="N288">
        <v>101.05</v>
      </c>
    </row>
    <row r="289" spans="1:14" x14ac:dyDescent="0.25">
      <c r="A289" t="s">
        <v>14</v>
      </c>
      <c r="B289" t="s">
        <v>15</v>
      </c>
      <c r="C289" t="s">
        <v>594</v>
      </c>
      <c r="D289" t="s">
        <v>595</v>
      </c>
      <c r="E289">
        <v>52.5</v>
      </c>
      <c r="F289">
        <v>52.5</v>
      </c>
      <c r="G289">
        <v>52.5</v>
      </c>
      <c r="H289">
        <v>52.5</v>
      </c>
      <c r="I289">
        <v>52.5</v>
      </c>
      <c r="J289">
        <v>84000</v>
      </c>
      <c r="K289">
        <v>1600</v>
      </c>
      <c r="L289" t="s">
        <v>18</v>
      </c>
      <c r="M289">
        <v>95</v>
      </c>
      <c r="N289">
        <v>48.1</v>
      </c>
    </row>
    <row r="290" spans="1:14" x14ac:dyDescent="0.25">
      <c r="A290" t="s">
        <v>14</v>
      </c>
      <c r="B290" t="s">
        <v>15</v>
      </c>
      <c r="C290" t="s">
        <v>596</v>
      </c>
      <c r="D290" t="s">
        <v>597</v>
      </c>
      <c r="E290">
        <v>139.05000000000001</v>
      </c>
      <c r="F290">
        <v>135</v>
      </c>
      <c r="G290">
        <v>138</v>
      </c>
      <c r="H290">
        <v>134</v>
      </c>
      <c r="I290">
        <v>138</v>
      </c>
      <c r="J290">
        <v>162800</v>
      </c>
      <c r="K290">
        <v>1200</v>
      </c>
      <c r="L290" t="s">
        <v>18</v>
      </c>
      <c r="M290">
        <v>216.8</v>
      </c>
      <c r="N290">
        <v>126.5</v>
      </c>
    </row>
    <row r="291" spans="1:14" x14ac:dyDescent="0.25">
      <c r="A291" t="s">
        <v>14</v>
      </c>
      <c r="B291" t="s">
        <v>15</v>
      </c>
      <c r="C291" t="s">
        <v>598</v>
      </c>
      <c r="D291" t="s">
        <v>599</v>
      </c>
      <c r="E291">
        <v>8.8000000000000007</v>
      </c>
      <c r="F291">
        <v>8.8000000000000007</v>
      </c>
      <c r="G291">
        <v>8.8000000000000007</v>
      </c>
      <c r="H291">
        <v>8.8000000000000007</v>
      </c>
      <c r="I291">
        <v>8.8000000000000007</v>
      </c>
      <c r="J291">
        <v>35200</v>
      </c>
      <c r="K291">
        <v>4000</v>
      </c>
      <c r="L291" t="s">
        <v>18</v>
      </c>
      <c r="M291">
        <v>39</v>
      </c>
      <c r="N291">
        <v>8.6</v>
      </c>
    </row>
    <row r="292" spans="1:14" x14ac:dyDescent="0.25">
      <c r="A292" t="s">
        <v>14</v>
      </c>
      <c r="B292" t="s">
        <v>15</v>
      </c>
      <c r="C292" t="s">
        <v>600</v>
      </c>
      <c r="D292" t="s">
        <v>601</v>
      </c>
      <c r="E292">
        <v>58.5</v>
      </c>
      <c r="F292">
        <v>59</v>
      </c>
      <c r="G292">
        <v>60</v>
      </c>
      <c r="H292">
        <v>57</v>
      </c>
      <c r="I292">
        <v>60</v>
      </c>
      <c r="J292">
        <v>524050</v>
      </c>
      <c r="K292">
        <v>9000</v>
      </c>
      <c r="L292" t="s">
        <v>18</v>
      </c>
      <c r="M292">
        <v>121.1</v>
      </c>
      <c r="N292">
        <v>52.55</v>
      </c>
    </row>
    <row r="293" spans="1:14" x14ac:dyDescent="0.25">
      <c r="A293" t="s">
        <v>14</v>
      </c>
      <c r="B293" t="s">
        <v>15</v>
      </c>
      <c r="C293" t="s">
        <v>602</v>
      </c>
      <c r="D293" t="s">
        <v>603</v>
      </c>
      <c r="E293">
        <v>36.5</v>
      </c>
      <c r="F293">
        <v>36.1</v>
      </c>
      <c r="G293">
        <v>36.1</v>
      </c>
      <c r="H293">
        <v>36.1</v>
      </c>
      <c r="I293">
        <v>36.1</v>
      </c>
      <c r="J293">
        <v>324900</v>
      </c>
      <c r="K293">
        <v>9000</v>
      </c>
      <c r="L293" t="s">
        <v>18</v>
      </c>
      <c r="M293">
        <v>44.25</v>
      </c>
      <c r="N293">
        <v>26.05</v>
      </c>
    </row>
    <row r="294" spans="1:14" x14ac:dyDescent="0.25">
      <c r="A294" t="s">
        <v>14</v>
      </c>
      <c r="B294" t="s">
        <v>15</v>
      </c>
      <c r="C294" t="s">
        <v>604</v>
      </c>
      <c r="D294" t="s">
        <v>605</v>
      </c>
      <c r="E294">
        <v>50.1</v>
      </c>
      <c r="F294">
        <v>42.55</v>
      </c>
      <c r="G294">
        <v>47.45</v>
      </c>
      <c r="H294">
        <v>42.55</v>
      </c>
      <c r="I294">
        <v>47.05</v>
      </c>
      <c r="J294">
        <v>1762080</v>
      </c>
      <c r="K294">
        <v>38400</v>
      </c>
      <c r="L294" t="s">
        <v>606</v>
      </c>
      <c r="M294">
        <v>143</v>
      </c>
      <c r="N294">
        <v>42.55</v>
      </c>
    </row>
    <row r="295" spans="1:14" x14ac:dyDescent="0.25">
      <c r="A295" t="s">
        <v>14</v>
      </c>
      <c r="B295" t="s">
        <v>15</v>
      </c>
      <c r="C295" t="s">
        <v>607</v>
      </c>
      <c r="D295" t="s">
        <v>608</v>
      </c>
      <c r="E295">
        <v>81.45</v>
      </c>
      <c r="F295">
        <v>79.599999999999994</v>
      </c>
      <c r="G295">
        <v>82.2</v>
      </c>
      <c r="H295">
        <v>76.5</v>
      </c>
      <c r="I295">
        <v>77.2</v>
      </c>
      <c r="J295">
        <v>1755920</v>
      </c>
      <c r="K295">
        <v>22400</v>
      </c>
      <c r="L295" t="s">
        <v>18</v>
      </c>
      <c r="M295">
        <v>123.65</v>
      </c>
      <c r="N295">
        <v>70.7</v>
      </c>
    </row>
    <row r="296" spans="1:14" x14ac:dyDescent="0.25">
      <c r="A296" t="s">
        <v>14</v>
      </c>
      <c r="B296" t="s">
        <v>15</v>
      </c>
      <c r="C296" t="s">
        <v>609</v>
      </c>
      <c r="D296" t="s">
        <v>610</v>
      </c>
      <c r="E296">
        <v>66</v>
      </c>
      <c r="F296">
        <v>64.05</v>
      </c>
      <c r="G296">
        <v>65</v>
      </c>
      <c r="H296">
        <v>64</v>
      </c>
      <c r="I296">
        <v>65</v>
      </c>
      <c r="J296">
        <v>386100</v>
      </c>
      <c r="K296">
        <v>6000</v>
      </c>
      <c r="L296" t="s">
        <v>18</v>
      </c>
      <c r="M296">
        <v>197.25</v>
      </c>
      <c r="N296">
        <v>64</v>
      </c>
    </row>
    <row r="297" spans="1:14" x14ac:dyDescent="0.25">
      <c r="A297" t="s">
        <v>14</v>
      </c>
      <c r="B297" t="s">
        <v>15</v>
      </c>
      <c r="C297" t="s">
        <v>611</v>
      </c>
      <c r="D297" t="s">
        <v>612</v>
      </c>
      <c r="E297">
        <v>270.5</v>
      </c>
      <c r="F297">
        <v>270</v>
      </c>
      <c r="G297">
        <v>270</v>
      </c>
      <c r="H297">
        <v>261.05</v>
      </c>
      <c r="I297">
        <v>264.95</v>
      </c>
      <c r="J297">
        <v>4652640</v>
      </c>
      <c r="K297">
        <v>17600</v>
      </c>
      <c r="L297" t="s">
        <v>18</v>
      </c>
      <c r="M297">
        <v>362</v>
      </c>
      <c r="N297">
        <v>105.1</v>
      </c>
    </row>
    <row r="298" spans="1:14" x14ac:dyDescent="0.25">
      <c r="A298" t="s">
        <v>14</v>
      </c>
      <c r="B298" t="s">
        <v>15</v>
      </c>
      <c r="C298" t="s">
        <v>613</v>
      </c>
      <c r="D298" t="s">
        <v>614</v>
      </c>
      <c r="E298">
        <v>72</v>
      </c>
      <c r="F298">
        <v>70</v>
      </c>
      <c r="G298">
        <v>70</v>
      </c>
      <c r="H298">
        <v>61</v>
      </c>
      <c r="I298">
        <v>64.05</v>
      </c>
      <c r="J298">
        <v>4841360</v>
      </c>
      <c r="K298">
        <v>75200</v>
      </c>
      <c r="L298" t="s">
        <v>18</v>
      </c>
      <c r="M298">
        <v>136.9</v>
      </c>
      <c r="N298">
        <v>56.9</v>
      </c>
    </row>
    <row r="299" spans="1:14" x14ac:dyDescent="0.25">
      <c r="A299" t="s">
        <v>14</v>
      </c>
      <c r="B299" t="s">
        <v>15</v>
      </c>
      <c r="C299" t="s">
        <v>615</v>
      </c>
      <c r="D299" t="s">
        <v>616</v>
      </c>
      <c r="E299">
        <v>61.6</v>
      </c>
      <c r="F299">
        <v>64.599999999999994</v>
      </c>
      <c r="G299">
        <v>64.599999999999994</v>
      </c>
      <c r="H299">
        <v>64</v>
      </c>
      <c r="I299">
        <v>64</v>
      </c>
      <c r="J299">
        <v>258100</v>
      </c>
      <c r="K299">
        <v>4000</v>
      </c>
      <c r="L299" t="s">
        <v>18</v>
      </c>
      <c r="M299">
        <v>273</v>
      </c>
      <c r="N299">
        <v>61.6</v>
      </c>
    </row>
    <row r="300" spans="1:14" x14ac:dyDescent="0.25">
      <c r="A300" t="s">
        <v>14</v>
      </c>
      <c r="B300" t="s">
        <v>15</v>
      </c>
      <c r="C300" t="s">
        <v>617</v>
      </c>
      <c r="D300" t="s">
        <v>618</v>
      </c>
      <c r="E300">
        <v>1201</v>
      </c>
      <c r="F300">
        <v>1200</v>
      </c>
      <c r="G300">
        <v>1217</v>
      </c>
      <c r="H300">
        <v>1180</v>
      </c>
      <c r="I300">
        <v>1200</v>
      </c>
      <c r="J300">
        <v>671760</v>
      </c>
      <c r="K300">
        <v>560</v>
      </c>
      <c r="L300" t="s">
        <v>18</v>
      </c>
      <c r="M300">
        <v>1584</v>
      </c>
      <c r="N300">
        <v>815.1</v>
      </c>
    </row>
    <row r="301" spans="1:14" x14ac:dyDescent="0.25">
      <c r="A301" t="s">
        <v>14</v>
      </c>
      <c r="B301" t="s">
        <v>15</v>
      </c>
      <c r="C301" t="s">
        <v>619</v>
      </c>
      <c r="D301" t="s">
        <v>620</v>
      </c>
      <c r="E301">
        <v>24.8</v>
      </c>
      <c r="F301">
        <v>24.8</v>
      </c>
      <c r="G301">
        <v>24.8</v>
      </c>
      <c r="H301">
        <v>23.65</v>
      </c>
      <c r="I301">
        <v>23.85</v>
      </c>
      <c r="J301">
        <v>526000</v>
      </c>
      <c r="K301">
        <v>22000</v>
      </c>
      <c r="L301" t="s">
        <v>18</v>
      </c>
      <c r="M301">
        <v>62.9</v>
      </c>
      <c r="N301">
        <v>23.5</v>
      </c>
    </row>
    <row r="302" spans="1:14" x14ac:dyDescent="0.25">
      <c r="A302" t="s">
        <v>14</v>
      </c>
      <c r="B302" t="s">
        <v>15</v>
      </c>
      <c r="C302" t="s">
        <v>621</v>
      </c>
      <c r="D302" t="s">
        <v>622</v>
      </c>
      <c r="E302">
        <v>340.45</v>
      </c>
      <c r="F302">
        <v>357.45</v>
      </c>
      <c r="G302">
        <v>357.45</v>
      </c>
      <c r="H302">
        <v>323.45</v>
      </c>
      <c r="I302">
        <v>327.14999999999998</v>
      </c>
      <c r="J302">
        <v>26930300</v>
      </c>
      <c r="K302">
        <v>78750</v>
      </c>
      <c r="L302" t="s">
        <v>18</v>
      </c>
      <c r="M302">
        <v>587.95000000000005</v>
      </c>
      <c r="N302">
        <v>119.55</v>
      </c>
    </row>
    <row r="303" spans="1:14" x14ac:dyDescent="0.25">
      <c r="A303" t="s">
        <v>14</v>
      </c>
      <c r="B303" t="s">
        <v>15</v>
      </c>
      <c r="C303" t="s">
        <v>623</v>
      </c>
      <c r="D303" t="s">
        <v>624</v>
      </c>
      <c r="E303">
        <v>67</v>
      </c>
      <c r="F303">
        <v>65.75</v>
      </c>
      <c r="G303">
        <v>66</v>
      </c>
      <c r="H303">
        <v>65.5</v>
      </c>
      <c r="I303">
        <v>66</v>
      </c>
      <c r="J303">
        <v>263000</v>
      </c>
      <c r="K303">
        <v>4000</v>
      </c>
      <c r="L303" t="s">
        <v>18</v>
      </c>
      <c r="M303">
        <v>162</v>
      </c>
      <c r="N303">
        <v>65.5</v>
      </c>
    </row>
    <row r="304" spans="1:14" x14ac:dyDescent="0.25">
      <c r="A304" t="s">
        <v>14</v>
      </c>
      <c r="B304" t="s">
        <v>15</v>
      </c>
      <c r="C304" t="s">
        <v>625</v>
      </c>
      <c r="D304" t="s">
        <v>626</v>
      </c>
      <c r="E304">
        <v>100</v>
      </c>
      <c r="F304">
        <v>100</v>
      </c>
      <c r="G304">
        <v>100</v>
      </c>
      <c r="H304">
        <v>98.1</v>
      </c>
      <c r="I304">
        <v>100</v>
      </c>
      <c r="J304">
        <v>1294350</v>
      </c>
      <c r="K304">
        <v>13000</v>
      </c>
      <c r="L304" t="s">
        <v>18</v>
      </c>
      <c r="M304">
        <v>148.75</v>
      </c>
      <c r="N304">
        <v>91</v>
      </c>
    </row>
    <row r="305" spans="1:14" x14ac:dyDescent="0.25">
      <c r="A305" t="s">
        <v>14</v>
      </c>
      <c r="B305" t="s">
        <v>15</v>
      </c>
      <c r="C305" t="s">
        <v>627</v>
      </c>
      <c r="D305" t="s">
        <v>628</v>
      </c>
      <c r="E305">
        <v>83.05</v>
      </c>
      <c r="F305">
        <v>82.4</v>
      </c>
      <c r="G305">
        <v>85</v>
      </c>
      <c r="H305">
        <v>80</v>
      </c>
      <c r="I305">
        <v>80</v>
      </c>
      <c r="J305">
        <v>985950</v>
      </c>
      <c r="K305">
        <v>12000</v>
      </c>
      <c r="L305" t="s">
        <v>18</v>
      </c>
      <c r="M305">
        <v>114</v>
      </c>
      <c r="N305">
        <v>72.349999999999994</v>
      </c>
    </row>
    <row r="306" spans="1:14" x14ac:dyDescent="0.25">
      <c r="A306" t="s">
        <v>14</v>
      </c>
      <c r="B306" t="s">
        <v>15</v>
      </c>
      <c r="C306" t="s">
        <v>629</v>
      </c>
      <c r="D306" t="s">
        <v>630</v>
      </c>
      <c r="E306">
        <v>2.15</v>
      </c>
      <c r="F306">
        <v>2.15</v>
      </c>
      <c r="G306">
        <v>2.15</v>
      </c>
      <c r="H306">
        <v>2.15</v>
      </c>
      <c r="I306">
        <v>2.15</v>
      </c>
      <c r="J306">
        <v>25800</v>
      </c>
      <c r="K306">
        <v>12000</v>
      </c>
      <c r="L306" t="s">
        <v>18</v>
      </c>
      <c r="M306">
        <v>4.6500000000000004</v>
      </c>
      <c r="N306">
        <v>2.15</v>
      </c>
    </row>
    <row r="307" spans="1:14" x14ac:dyDescent="0.25">
      <c r="A307" t="s">
        <v>14</v>
      </c>
      <c r="B307" t="s">
        <v>15</v>
      </c>
      <c r="C307" t="s">
        <v>631</v>
      </c>
      <c r="D307" t="s">
        <v>632</v>
      </c>
      <c r="E307">
        <v>98.9</v>
      </c>
      <c r="F307">
        <v>98.9</v>
      </c>
      <c r="G307">
        <v>98.9</v>
      </c>
      <c r="H307">
        <v>95.55</v>
      </c>
      <c r="I307">
        <v>98.9</v>
      </c>
      <c r="J307">
        <v>826680</v>
      </c>
      <c r="K307">
        <v>8400</v>
      </c>
      <c r="L307" t="s">
        <v>18</v>
      </c>
      <c r="M307">
        <v>160</v>
      </c>
      <c r="N307">
        <v>75.150000000000006</v>
      </c>
    </row>
    <row r="308" spans="1:14" x14ac:dyDescent="0.25">
      <c r="A308" t="s">
        <v>14</v>
      </c>
      <c r="B308" t="s">
        <v>15</v>
      </c>
      <c r="C308" t="s">
        <v>633</v>
      </c>
      <c r="D308" t="s">
        <v>634</v>
      </c>
      <c r="E308">
        <v>30.95</v>
      </c>
      <c r="F308">
        <v>31.5</v>
      </c>
      <c r="G308">
        <v>32.9</v>
      </c>
      <c r="H308">
        <v>30.3</v>
      </c>
      <c r="I308">
        <v>32.4</v>
      </c>
      <c r="J308">
        <v>1132890</v>
      </c>
      <c r="K308">
        <v>36400</v>
      </c>
      <c r="L308" t="s">
        <v>18</v>
      </c>
      <c r="M308">
        <v>53.9</v>
      </c>
      <c r="N308">
        <v>25.55</v>
      </c>
    </row>
    <row r="309" spans="1:14" x14ac:dyDescent="0.25">
      <c r="A309" t="s">
        <v>14</v>
      </c>
      <c r="B309" t="s">
        <v>15</v>
      </c>
      <c r="C309" t="s">
        <v>635</v>
      </c>
      <c r="D309" t="s">
        <v>636</v>
      </c>
      <c r="E309">
        <v>55.3</v>
      </c>
      <c r="F309">
        <v>55.3</v>
      </c>
      <c r="G309">
        <v>55.3</v>
      </c>
      <c r="H309">
        <v>55.3</v>
      </c>
      <c r="I309">
        <v>55.3</v>
      </c>
      <c r="J309">
        <v>88480</v>
      </c>
      <c r="K309">
        <v>1600</v>
      </c>
      <c r="L309" t="s">
        <v>18</v>
      </c>
      <c r="M309">
        <v>103</v>
      </c>
      <c r="N309">
        <v>50</v>
      </c>
    </row>
    <row r="310" spans="1:14" x14ac:dyDescent="0.25">
      <c r="A310" t="s">
        <v>14</v>
      </c>
      <c r="B310" t="s">
        <v>15</v>
      </c>
      <c r="C310" t="s">
        <v>637</v>
      </c>
      <c r="D310" t="s">
        <v>638</v>
      </c>
      <c r="E310">
        <v>19.100000000000001</v>
      </c>
      <c r="F310">
        <v>20.8</v>
      </c>
      <c r="G310">
        <v>22.9</v>
      </c>
      <c r="H310">
        <v>20.8</v>
      </c>
      <c r="I310">
        <v>22.9</v>
      </c>
      <c r="J310">
        <v>1486800</v>
      </c>
      <c r="K310">
        <v>66000</v>
      </c>
      <c r="L310" t="s">
        <v>18</v>
      </c>
      <c r="M310">
        <v>30.85</v>
      </c>
      <c r="N310">
        <v>16.5</v>
      </c>
    </row>
    <row r="311" spans="1:14" x14ac:dyDescent="0.25">
      <c r="A311" t="s">
        <v>14</v>
      </c>
      <c r="B311" t="s">
        <v>15</v>
      </c>
      <c r="C311" t="s">
        <v>639</v>
      </c>
      <c r="D311" t="s">
        <v>640</v>
      </c>
      <c r="E311">
        <v>238</v>
      </c>
      <c r="F311">
        <v>235</v>
      </c>
      <c r="G311">
        <v>235</v>
      </c>
      <c r="H311">
        <v>235</v>
      </c>
      <c r="I311">
        <v>235</v>
      </c>
      <c r="J311">
        <v>235000</v>
      </c>
      <c r="K311">
        <v>1000</v>
      </c>
      <c r="L311" t="s">
        <v>18</v>
      </c>
      <c r="M311">
        <v>312.5</v>
      </c>
      <c r="N311">
        <v>173.15</v>
      </c>
    </row>
    <row r="312" spans="1:14" x14ac:dyDescent="0.25">
      <c r="A312" t="s">
        <v>14</v>
      </c>
      <c r="B312" t="s">
        <v>15</v>
      </c>
      <c r="C312" t="s">
        <v>641</v>
      </c>
      <c r="D312" t="s">
        <v>642</v>
      </c>
      <c r="E312">
        <v>74.05</v>
      </c>
      <c r="F312">
        <v>73</v>
      </c>
      <c r="G312">
        <v>84</v>
      </c>
      <c r="H312">
        <v>73</v>
      </c>
      <c r="I312">
        <v>82.5</v>
      </c>
      <c r="J312">
        <v>6487425</v>
      </c>
      <c r="K312">
        <v>79500</v>
      </c>
      <c r="L312" t="s">
        <v>18</v>
      </c>
      <c r="M312">
        <v>101.9</v>
      </c>
      <c r="N312">
        <v>70.05</v>
      </c>
    </row>
    <row r="313" spans="1:14" x14ac:dyDescent="0.25">
      <c r="A313" t="s">
        <v>14</v>
      </c>
      <c r="B313" t="s">
        <v>15</v>
      </c>
      <c r="C313" t="s">
        <v>643</v>
      </c>
      <c r="D313" t="s">
        <v>644</v>
      </c>
      <c r="E313">
        <v>63.7</v>
      </c>
      <c r="F313">
        <v>63.6</v>
      </c>
      <c r="G313">
        <v>63.6</v>
      </c>
      <c r="H313">
        <v>63.55</v>
      </c>
      <c r="I313">
        <v>63.55</v>
      </c>
      <c r="J313">
        <v>254300</v>
      </c>
      <c r="K313">
        <v>4000</v>
      </c>
      <c r="L313" t="s">
        <v>18</v>
      </c>
      <c r="M313">
        <v>75</v>
      </c>
      <c r="N313">
        <v>54</v>
      </c>
    </row>
    <row r="314" spans="1:14" x14ac:dyDescent="0.25">
      <c r="A314" t="s">
        <v>14</v>
      </c>
      <c r="B314" t="s">
        <v>15</v>
      </c>
      <c r="C314" t="s">
        <v>645</v>
      </c>
      <c r="D314" t="s">
        <v>646</v>
      </c>
      <c r="E314">
        <v>93</v>
      </c>
      <c r="F314">
        <v>92</v>
      </c>
      <c r="G314">
        <v>92.5</v>
      </c>
      <c r="H314">
        <v>91</v>
      </c>
      <c r="I314">
        <v>91.75</v>
      </c>
      <c r="J314">
        <v>294000</v>
      </c>
      <c r="K314">
        <v>3200</v>
      </c>
      <c r="L314" t="s">
        <v>18</v>
      </c>
      <c r="M314">
        <v>143</v>
      </c>
      <c r="N314">
        <v>81.599999999999994</v>
      </c>
    </row>
    <row r="315" spans="1:14" x14ac:dyDescent="0.25">
      <c r="A315" t="s">
        <v>14</v>
      </c>
      <c r="B315" t="s">
        <v>15</v>
      </c>
      <c r="C315" t="s">
        <v>647</v>
      </c>
      <c r="D315" t="s">
        <v>648</v>
      </c>
      <c r="E315">
        <v>245</v>
      </c>
      <c r="F315">
        <v>252.9</v>
      </c>
      <c r="G315">
        <v>252.9</v>
      </c>
      <c r="H315">
        <v>233</v>
      </c>
      <c r="I315">
        <v>234.95</v>
      </c>
      <c r="J315">
        <v>2986170</v>
      </c>
      <c r="K315">
        <v>12600</v>
      </c>
      <c r="L315" t="s">
        <v>18</v>
      </c>
      <c r="M315">
        <v>384.9</v>
      </c>
      <c r="N315">
        <v>215.2</v>
      </c>
    </row>
    <row r="316" spans="1:14" x14ac:dyDescent="0.25">
      <c r="A316" t="s">
        <v>14</v>
      </c>
      <c r="B316" t="s">
        <v>15</v>
      </c>
      <c r="C316" t="s">
        <v>649</v>
      </c>
      <c r="D316" t="s">
        <v>650</v>
      </c>
      <c r="E316">
        <v>350</v>
      </c>
      <c r="F316">
        <v>347.95</v>
      </c>
      <c r="G316">
        <v>347.95</v>
      </c>
      <c r="H316">
        <v>310</v>
      </c>
      <c r="I316">
        <v>319.55</v>
      </c>
      <c r="J316">
        <v>3734940</v>
      </c>
      <c r="K316">
        <v>11400</v>
      </c>
      <c r="L316" t="s">
        <v>18</v>
      </c>
      <c r="M316">
        <v>595.85</v>
      </c>
      <c r="N316">
        <v>249.85</v>
      </c>
    </row>
    <row r="317" spans="1:14" x14ac:dyDescent="0.25">
      <c r="A317" t="s">
        <v>14</v>
      </c>
      <c r="B317" t="s">
        <v>15</v>
      </c>
      <c r="C317" t="s">
        <v>651</v>
      </c>
      <c r="D317" t="s">
        <v>652</v>
      </c>
      <c r="E317">
        <v>102</v>
      </c>
      <c r="F317">
        <v>102</v>
      </c>
      <c r="G317">
        <v>102</v>
      </c>
      <c r="H317">
        <v>102</v>
      </c>
      <c r="I317">
        <v>102</v>
      </c>
      <c r="J317">
        <v>102000</v>
      </c>
      <c r="K317">
        <v>1000</v>
      </c>
      <c r="L317" t="s">
        <v>18</v>
      </c>
      <c r="M317">
        <v>175</v>
      </c>
      <c r="N317">
        <v>55.2</v>
      </c>
    </row>
    <row r="318" spans="1:14" x14ac:dyDescent="0.25">
      <c r="A318" t="s">
        <v>14</v>
      </c>
      <c r="B318" t="s">
        <v>15</v>
      </c>
      <c r="C318" t="s">
        <v>653</v>
      </c>
      <c r="D318" t="s">
        <v>654</v>
      </c>
      <c r="E318">
        <v>46.7</v>
      </c>
      <c r="F318">
        <v>46.9</v>
      </c>
      <c r="G318">
        <v>46.95</v>
      </c>
      <c r="H318">
        <v>46</v>
      </c>
      <c r="I318">
        <v>46</v>
      </c>
      <c r="J318">
        <v>139850</v>
      </c>
      <c r="K318">
        <v>3000</v>
      </c>
      <c r="L318" t="s">
        <v>18</v>
      </c>
      <c r="M318">
        <v>92.8</v>
      </c>
      <c r="N318">
        <v>39</v>
      </c>
    </row>
    <row r="319" spans="1:14" x14ac:dyDescent="0.25">
      <c r="A319" t="s">
        <v>14</v>
      </c>
      <c r="B319" t="s">
        <v>15</v>
      </c>
      <c r="C319" t="s">
        <v>655</v>
      </c>
      <c r="D319" t="s">
        <v>656</v>
      </c>
      <c r="E319">
        <v>651.54999999999995</v>
      </c>
      <c r="F319">
        <v>645</v>
      </c>
      <c r="G319">
        <v>650</v>
      </c>
      <c r="H319">
        <v>631.04999999999995</v>
      </c>
      <c r="I319">
        <v>636.54999999999995</v>
      </c>
      <c r="J319">
        <v>957665</v>
      </c>
      <c r="K319">
        <v>1500</v>
      </c>
      <c r="L319" t="s">
        <v>18</v>
      </c>
      <c r="M319">
        <v>2419.9499999999998</v>
      </c>
      <c r="N319">
        <v>611.04999999999995</v>
      </c>
    </row>
    <row r="320" spans="1:14" x14ac:dyDescent="0.25">
      <c r="A320" t="s">
        <v>14</v>
      </c>
      <c r="B320" t="s">
        <v>33</v>
      </c>
      <c r="C320" t="s">
        <v>657</v>
      </c>
      <c r="D320" t="s">
        <v>658</v>
      </c>
      <c r="E320">
        <v>147</v>
      </c>
      <c r="F320">
        <v>150.5</v>
      </c>
      <c r="G320">
        <v>150.85</v>
      </c>
      <c r="H320">
        <v>146.5</v>
      </c>
      <c r="I320">
        <v>146.85</v>
      </c>
      <c r="J320">
        <v>4963980</v>
      </c>
      <c r="K320">
        <v>33600</v>
      </c>
      <c r="L320" t="s">
        <v>18</v>
      </c>
      <c r="M320">
        <v>158</v>
      </c>
      <c r="N320">
        <v>69</v>
      </c>
    </row>
    <row r="321" spans="1:14" x14ac:dyDescent="0.25">
      <c r="A321" t="s">
        <v>14</v>
      </c>
      <c r="B321" t="s">
        <v>15</v>
      </c>
      <c r="C321" t="s">
        <v>659</v>
      </c>
      <c r="D321" t="s">
        <v>660</v>
      </c>
      <c r="E321">
        <v>145.9</v>
      </c>
      <c r="F321">
        <v>147</v>
      </c>
      <c r="G321">
        <v>147</v>
      </c>
      <c r="H321">
        <v>147</v>
      </c>
      <c r="I321">
        <v>147</v>
      </c>
      <c r="J321">
        <v>147000</v>
      </c>
      <c r="K321">
        <v>1000</v>
      </c>
      <c r="L321" t="s">
        <v>18</v>
      </c>
      <c r="M321">
        <v>171</v>
      </c>
      <c r="N321">
        <v>57</v>
      </c>
    </row>
    <row r="322" spans="1:14" x14ac:dyDescent="0.25">
      <c r="A322" t="s">
        <v>14</v>
      </c>
      <c r="B322" t="s">
        <v>15</v>
      </c>
      <c r="C322" t="s">
        <v>661</v>
      </c>
      <c r="D322" t="s">
        <v>662</v>
      </c>
      <c r="E322">
        <v>47.25</v>
      </c>
      <c r="F322">
        <v>47</v>
      </c>
      <c r="G322">
        <v>47.15</v>
      </c>
      <c r="H322">
        <v>47</v>
      </c>
      <c r="I322">
        <v>47.15</v>
      </c>
      <c r="J322">
        <v>1037000</v>
      </c>
      <c r="K322">
        <v>22000</v>
      </c>
      <c r="L322" t="s">
        <v>18</v>
      </c>
      <c r="M322">
        <v>120</v>
      </c>
      <c r="N322">
        <v>41.6</v>
      </c>
    </row>
    <row r="323" spans="1:14" x14ac:dyDescent="0.25">
      <c r="A323" t="s">
        <v>14</v>
      </c>
      <c r="B323" t="s">
        <v>33</v>
      </c>
      <c r="C323" t="s">
        <v>663</v>
      </c>
      <c r="D323" t="s">
        <v>664</v>
      </c>
      <c r="E323">
        <v>57</v>
      </c>
      <c r="F323">
        <v>57.1</v>
      </c>
      <c r="G323">
        <v>58.1</v>
      </c>
      <c r="H323">
        <v>54.15</v>
      </c>
      <c r="I323">
        <v>58.1</v>
      </c>
      <c r="J323">
        <v>2820150</v>
      </c>
      <c r="K323">
        <v>49000</v>
      </c>
      <c r="L323" t="s">
        <v>18</v>
      </c>
      <c r="M323">
        <v>102.05</v>
      </c>
      <c r="N323">
        <v>50</v>
      </c>
    </row>
    <row r="324" spans="1:14" x14ac:dyDescent="0.25">
      <c r="A324" t="s">
        <v>14</v>
      </c>
      <c r="B324" t="s">
        <v>15</v>
      </c>
      <c r="C324" t="s">
        <v>665</v>
      </c>
      <c r="D324" t="s">
        <v>666</v>
      </c>
      <c r="E324">
        <v>20</v>
      </c>
      <c r="F324">
        <v>20</v>
      </c>
      <c r="G324">
        <v>20</v>
      </c>
      <c r="H324">
        <v>20</v>
      </c>
      <c r="I324">
        <v>20</v>
      </c>
      <c r="J324">
        <v>224000</v>
      </c>
      <c r="K324">
        <v>11200</v>
      </c>
      <c r="L324" t="s">
        <v>18</v>
      </c>
      <c r="M324">
        <v>40.6</v>
      </c>
      <c r="N324">
        <v>19.850000000000001</v>
      </c>
    </row>
    <row r="325" spans="1:14" x14ac:dyDescent="0.25">
      <c r="A325" t="s">
        <v>14</v>
      </c>
      <c r="B325" t="s">
        <v>15</v>
      </c>
      <c r="C325" t="s">
        <v>667</v>
      </c>
      <c r="D325" t="s">
        <v>668</v>
      </c>
      <c r="E325">
        <v>296.60000000000002</v>
      </c>
      <c r="F325">
        <v>298</v>
      </c>
      <c r="G325">
        <v>308</v>
      </c>
      <c r="H325">
        <v>298</v>
      </c>
      <c r="I325">
        <v>305</v>
      </c>
      <c r="J325">
        <v>5094240</v>
      </c>
      <c r="K325">
        <v>16800</v>
      </c>
      <c r="L325" t="s">
        <v>18</v>
      </c>
      <c r="M325">
        <v>404</v>
      </c>
      <c r="N325">
        <v>205</v>
      </c>
    </row>
    <row r="326" spans="1:14" x14ac:dyDescent="0.25">
      <c r="A326" t="s">
        <v>14</v>
      </c>
      <c r="B326" t="s">
        <v>33</v>
      </c>
      <c r="C326" t="s">
        <v>669</v>
      </c>
      <c r="D326" t="s">
        <v>670</v>
      </c>
      <c r="E326">
        <v>211</v>
      </c>
      <c r="F326">
        <v>211</v>
      </c>
      <c r="G326">
        <v>221.1</v>
      </c>
      <c r="H326">
        <v>200.45</v>
      </c>
      <c r="I326">
        <v>211.15</v>
      </c>
      <c r="J326">
        <v>1112837.5</v>
      </c>
      <c r="K326">
        <v>5250</v>
      </c>
      <c r="L326" t="s">
        <v>18</v>
      </c>
      <c r="M326">
        <v>573</v>
      </c>
      <c r="N326">
        <v>160.55000000000001</v>
      </c>
    </row>
    <row r="327" spans="1:14" x14ac:dyDescent="0.25">
      <c r="A327" t="s">
        <v>14</v>
      </c>
      <c r="B327" t="s">
        <v>15</v>
      </c>
      <c r="C327" t="s">
        <v>671</v>
      </c>
      <c r="D327" t="s">
        <v>672</v>
      </c>
      <c r="E327">
        <v>35.15</v>
      </c>
      <c r="F327">
        <v>33.700000000000003</v>
      </c>
      <c r="G327">
        <v>34.950000000000003</v>
      </c>
      <c r="H327">
        <v>33.700000000000003</v>
      </c>
      <c r="I327">
        <v>34.5</v>
      </c>
      <c r="J327">
        <v>441040</v>
      </c>
      <c r="K327">
        <v>12800</v>
      </c>
      <c r="L327" t="s">
        <v>18</v>
      </c>
      <c r="M327">
        <v>79</v>
      </c>
      <c r="N327">
        <v>33.700000000000003</v>
      </c>
    </row>
    <row r="328" spans="1:14" x14ac:dyDescent="0.25">
      <c r="A328" t="s">
        <v>14</v>
      </c>
      <c r="B328" t="s">
        <v>15</v>
      </c>
      <c r="C328" t="s">
        <v>673</v>
      </c>
      <c r="D328" t="s">
        <v>674</v>
      </c>
      <c r="E328">
        <v>103.1</v>
      </c>
      <c r="F328">
        <v>103.1</v>
      </c>
      <c r="G328">
        <v>109</v>
      </c>
      <c r="H328">
        <v>103.1</v>
      </c>
      <c r="I328">
        <v>106.6</v>
      </c>
      <c r="J328">
        <v>160305</v>
      </c>
      <c r="K328">
        <v>1500</v>
      </c>
      <c r="L328" t="s">
        <v>18</v>
      </c>
      <c r="M328">
        <v>222</v>
      </c>
      <c r="N328">
        <v>98</v>
      </c>
    </row>
    <row r="329" spans="1:14" x14ac:dyDescent="0.25">
      <c r="A329" t="s">
        <v>14</v>
      </c>
      <c r="B329" t="s">
        <v>33</v>
      </c>
      <c r="C329" t="s">
        <v>675</v>
      </c>
      <c r="D329" t="s">
        <v>676</v>
      </c>
      <c r="E329">
        <v>50.65</v>
      </c>
      <c r="F329">
        <v>48.5</v>
      </c>
      <c r="G329">
        <v>50.6</v>
      </c>
      <c r="H329">
        <v>48.15</v>
      </c>
      <c r="I329">
        <v>49.6</v>
      </c>
      <c r="J329">
        <v>969200</v>
      </c>
      <c r="K329">
        <v>20000</v>
      </c>
      <c r="L329" t="s">
        <v>18</v>
      </c>
      <c r="M329">
        <v>96.9</v>
      </c>
      <c r="N329">
        <v>31.8</v>
      </c>
    </row>
    <row r="330" spans="1:14" x14ac:dyDescent="0.25">
      <c r="A330" t="s">
        <v>14</v>
      </c>
      <c r="B330" t="s">
        <v>15</v>
      </c>
      <c r="C330" t="s">
        <v>677</v>
      </c>
      <c r="D330" t="s">
        <v>678</v>
      </c>
      <c r="E330">
        <v>83</v>
      </c>
      <c r="F330">
        <v>83</v>
      </c>
      <c r="G330">
        <v>84.9</v>
      </c>
      <c r="H330">
        <v>83</v>
      </c>
      <c r="I330">
        <v>84.9</v>
      </c>
      <c r="J330">
        <v>504900</v>
      </c>
      <c r="K330">
        <v>6000</v>
      </c>
      <c r="L330" t="s">
        <v>18</v>
      </c>
      <c r="M330">
        <v>161</v>
      </c>
      <c r="N330">
        <v>73</v>
      </c>
    </row>
    <row r="331" spans="1:14" x14ac:dyDescent="0.25">
      <c r="A331" t="s">
        <v>14</v>
      </c>
      <c r="B331" t="s">
        <v>15</v>
      </c>
      <c r="C331" t="s">
        <v>679</v>
      </c>
      <c r="D331" t="s">
        <v>680</v>
      </c>
      <c r="E331">
        <v>332.3</v>
      </c>
      <c r="F331">
        <v>336</v>
      </c>
      <c r="G331">
        <v>336</v>
      </c>
      <c r="H331">
        <v>312.3</v>
      </c>
      <c r="I331">
        <v>321.60000000000002</v>
      </c>
      <c r="J331">
        <v>3873687.5</v>
      </c>
      <c r="K331">
        <v>12000</v>
      </c>
      <c r="L331" t="s">
        <v>18</v>
      </c>
      <c r="M331">
        <v>685</v>
      </c>
      <c r="N331">
        <v>300</v>
      </c>
    </row>
    <row r="332" spans="1:14" x14ac:dyDescent="0.25">
      <c r="A332" t="s">
        <v>14</v>
      </c>
      <c r="B332" t="s">
        <v>15</v>
      </c>
      <c r="C332" t="s">
        <v>681</v>
      </c>
      <c r="D332" t="s">
        <v>682</v>
      </c>
      <c r="E332">
        <v>190</v>
      </c>
      <c r="F332">
        <v>185</v>
      </c>
      <c r="G332">
        <v>191</v>
      </c>
      <c r="H332">
        <v>183.15</v>
      </c>
      <c r="I332">
        <v>189.25</v>
      </c>
      <c r="J332">
        <v>4397100</v>
      </c>
      <c r="K332">
        <v>23400</v>
      </c>
      <c r="L332" t="s">
        <v>18</v>
      </c>
      <c r="M332">
        <v>217.7</v>
      </c>
      <c r="N332">
        <v>118</v>
      </c>
    </row>
    <row r="333" spans="1:14" x14ac:dyDescent="0.25">
      <c r="A333" t="s">
        <v>14</v>
      </c>
      <c r="B333" t="s">
        <v>33</v>
      </c>
      <c r="C333" t="s">
        <v>683</v>
      </c>
      <c r="D333" t="s">
        <v>684</v>
      </c>
      <c r="E333">
        <v>5.75</v>
      </c>
      <c r="F333">
        <v>5.75</v>
      </c>
      <c r="G333">
        <v>6</v>
      </c>
      <c r="H333">
        <v>5.75</v>
      </c>
      <c r="I333">
        <v>6</v>
      </c>
      <c r="J333">
        <v>235750</v>
      </c>
      <c r="K333">
        <v>40000</v>
      </c>
      <c r="L333" t="s">
        <v>18</v>
      </c>
      <c r="M333">
        <v>10.85</v>
      </c>
      <c r="N333">
        <v>3.8</v>
      </c>
    </row>
    <row r="334" spans="1:14" x14ac:dyDescent="0.25">
      <c r="A334" t="s">
        <v>14</v>
      </c>
      <c r="B334" t="s">
        <v>33</v>
      </c>
      <c r="C334" t="s">
        <v>685</v>
      </c>
      <c r="D334" t="s">
        <v>686</v>
      </c>
      <c r="E334">
        <v>369</v>
      </c>
      <c r="F334">
        <v>365</v>
      </c>
      <c r="G334">
        <v>377</v>
      </c>
      <c r="H334">
        <v>364.05</v>
      </c>
      <c r="I334">
        <v>372.5</v>
      </c>
      <c r="J334">
        <v>2206830</v>
      </c>
      <c r="K334">
        <v>6000</v>
      </c>
      <c r="L334" t="s">
        <v>18</v>
      </c>
      <c r="M334">
        <v>430.65</v>
      </c>
      <c r="N334">
        <v>140.5</v>
      </c>
    </row>
    <row r="335" spans="1:14" x14ac:dyDescent="0.25">
      <c r="A335" t="s">
        <v>14</v>
      </c>
      <c r="B335" t="s">
        <v>15</v>
      </c>
      <c r="C335" t="s">
        <v>687</v>
      </c>
      <c r="D335" t="s">
        <v>688</v>
      </c>
      <c r="E335">
        <v>221.5</v>
      </c>
      <c r="F335">
        <v>225</v>
      </c>
      <c r="G335">
        <v>232.5</v>
      </c>
      <c r="H335">
        <v>225</v>
      </c>
      <c r="I335">
        <v>230.5</v>
      </c>
      <c r="J335">
        <v>8604800</v>
      </c>
      <c r="K335">
        <v>37500</v>
      </c>
      <c r="L335" t="s">
        <v>18</v>
      </c>
      <c r="M335">
        <v>319</v>
      </c>
      <c r="N335">
        <v>151</v>
      </c>
    </row>
    <row r="336" spans="1:14" x14ac:dyDescent="0.25">
      <c r="A336" t="s">
        <v>14</v>
      </c>
      <c r="B336" t="s">
        <v>15</v>
      </c>
      <c r="C336" t="s">
        <v>689</v>
      </c>
      <c r="D336" t="s">
        <v>690</v>
      </c>
      <c r="E336">
        <v>145.35</v>
      </c>
      <c r="F336">
        <v>150</v>
      </c>
      <c r="G336">
        <v>150</v>
      </c>
      <c r="H336">
        <v>142.05000000000001</v>
      </c>
      <c r="I336">
        <v>142.9</v>
      </c>
      <c r="J336">
        <v>2546760</v>
      </c>
      <c r="K336">
        <v>17600</v>
      </c>
      <c r="L336" t="s">
        <v>18</v>
      </c>
      <c r="M336">
        <v>525</v>
      </c>
      <c r="N336">
        <v>138.15</v>
      </c>
    </row>
    <row r="337" spans="1:14" x14ac:dyDescent="0.25">
      <c r="A337" t="s">
        <v>14</v>
      </c>
      <c r="B337" t="s">
        <v>15</v>
      </c>
      <c r="C337" t="s">
        <v>691</v>
      </c>
      <c r="D337" t="s">
        <v>692</v>
      </c>
      <c r="E337">
        <v>868.5</v>
      </c>
      <c r="F337">
        <v>885</v>
      </c>
      <c r="G337">
        <v>899.1</v>
      </c>
      <c r="H337">
        <v>875</v>
      </c>
      <c r="I337">
        <v>889</v>
      </c>
      <c r="J337">
        <v>11264606.25</v>
      </c>
      <c r="K337">
        <v>12750</v>
      </c>
      <c r="L337" t="s">
        <v>18</v>
      </c>
      <c r="M337">
        <v>1735</v>
      </c>
      <c r="N337">
        <v>685</v>
      </c>
    </row>
    <row r="338" spans="1:14" x14ac:dyDescent="0.25">
      <c r="A338" t="s">
        <v>14</v>
      </c>
      <c r="B338" t="s">
        <v>15</v>
      </c>
      <c r="C338" t="s">
        <v>693</v>
      </c>
      <c r="D338" t="s">
        <v>694</v>
      </c>
      <c r="E338">
        <v>252.45</v>
      </c>
      <c r="F338">
        <v>250</v>
      </c>
      <c r="G338">
        <v>253.5</v>
      </c>
      <c r="H338">
        <v>241.35</v>
      </c>
      <c r="I338">
        <v>248.4</v>
      </c>
      <c r="J338">
        <v>37890340</v>
      </c>
      <c r="K338">
        <v>152000</v>
      </c>
      <c r="L338" t="s">
        <v>18</v>
      </c>
      <c r="M338">
        <v>515.54999999999995</v>
      </c>
      <c r="N338">
        <v>227.5</v>
      </c>
    </row>
    <row r="339" spans="1:14" x14ac:dyDescent="0.25">
      <c r="A339" t="s">
        <v>14</v>
      </c>
      <c r="B339" t="s">
        <v>33</v>
      </c>
      <c r="C339" t="s">
        <v>695</v>
      </c>
      <c r="D339" t="s">
        <v>696</v>
      </c>
      <c r="E339">
        <v>47.4</v>
      </c>
      <c r="F339">
        <v>48.8</v>
      </c>
      <c r="G339">
        <v>49.75</v>
      </c>
      <c r="H339">
        <v>47.6</v>
      </c>
      <c r="I339">
        <v>47.6</v>
      </c>
      <c r="J339">
        <v>2945200</v>
      </c>
      <c r="K339">
        <v>60000</v>
      </c>
      <c r="L339" t="s">
        <v>18</v>
      </c>
      <c r="M339">
        <v>51.3</v>
      </c>
      <c r="N339">
        <v>28.8</v>
      </c>
    </row>
    <row r="340" spans="1:14" x14ac:dyDescent="0.25">
      <c r="A340" t="s">
        <v>14</v>
      </c>
      <c r="B340" t="s">
        <v>15</v>
      </c>
      <c r="C340" t="s">
        <v>697</v>
      </c>
      <c r="D340" t="s">
        <v>698</v>
      </c>
      <c r="E340">
        <v>11</v>
      </c>
      <c r="F340">
        <v>11</v>
      </c>
      <c r="G340">
        <v>11</v>
      </c>
      <c r="H340">
        <v>11</v>
      </c>
      <c r="I340">
        <v>11</v>
      </c>
      <c r="J340">
        <v>132000</v>
      </c>
      <c r="K340">
        <v>12000</v>
      </c>
      <c r="L340" t="s">
        <v>18</v>
      </c>
      <c r="M340">
        <v>111.9</v>
      </c>
      <c r="N340">
        <v>10.45</v>
      </c>
    </row>
    <row r="341" spans="1:14" x14ac:dyDescent="0.25">
      <c r="A341" t="s">
        <v>14</v>
      </c>
      <c r="B341" t="s">
        <v>15</v>
      </c>
      <c r="C341" t="s">
        <v>699</v>
      </c>
      <c r="D341" t="s">
        <v>700</v>
      </c>
      <c r="E341">
        <v>47</v>
      </c>
      <c r="F341">
        <v>46</v>
      </c>
      <c r="G341">
        <v>46.9</v>
      </c>
      <c r="H341">
        <v>46</v>
      </c>
      <c r="I341">
        <v>46.9</v>
      </c>
      <c r="J341">
        <v>139350</v>
      </c>
      <c r="K341">
        <v>3000</v>
      </c>
      <c r="L341" t="s">
        <v>18</v>
      </c>
      <c r="M341">
        <v>77</v>
      </c>
      <c r="N341">
        <v>43.8</v>
      </c>
    </row>
    <row r="342" spans="1:14" x14ac:dyDescent="0.25">
      <c r="A342" t="s">
        <v>14</v>
      </c>
      <c r="B342" t="s">
        <v>15</v>
      </c>
      <c r="C342" t="s">
        <v>701</v>
      </c>
      <c r="D342" t="s">
        <v>702</v>
      </c>
      <c r="E342">
        <v>218.95</v>
      </c>
      <c r="F342">
        <v>221.5</v>
      </c>
      <c r="G342">
        <v>222.55</v>
      </c>
      <c r="H342">
        <v>203</v>
      </c>
      <c r="I342">
        <v>206.25</v>
      </c>
      <c r="J342">
        <v>126959925</v>
      </c>
      <c r="K342">
        <v>614000</v>
      </c>
      <c r="L342" t="s">
        <v>18</v>
      </c>
      <c r="M342">
        <v>302.95</v>
      </c>
      <c r="N342">
        <v>162</v>
      </c>
    </row>
    <row r="343" spans="1:14" x14ac:dyDescent="0.25">
      <c r="A343" t="s">
        <v>14</v>
      </c>
      <c r="B343" t="s">
        <v>15</v>
      </c>
      <c r="C343" t="s">
        <v>703</v>
      </c>
      <c r="D343" t="s">
        <v>704</v>
      </c>
      <c r="E343">
        <v>140</v>
      </c>
      <c r="F343">
        <v>136.1</v>
      </c>
      <c r="G343">
        <v>149.5</v>
      </c>
      <c r="H343">
        <v>136</v>
      </c>
      <c r="I343">
        <v>145.30000000000001</v>
      </c>
      <c r="J343">
        <v>3123920</v>
      </c>
      <c r="K343">
        <v>21600</v>
      </c>
      <c r="L343" t="s">
        <v>18</v>
      </c>
      <c r="M343">
        <v>241.95</v>
      </c>
      <c r="N343">
        <v>124</v>
      </c>
    </row>
    <row r="344" spans="1:14" x14ac:dyDescent="0.25">
      <c r="A344" t="s">
        <v>14</v>
      </c>
      <c r="B344" t="s">
        <v>15</v>
      </c>
      <c r="C344" t="s">
        <v>705</v>
      </c>
      <c r="D344" t="s">
        <v>706</v>
      </c>
      <c r="E344">
        <v>362.55</v>
      </c>
      <c r="F344">
        <v>366.85</v>
      </c>
      <c r="G344">
        <v>373.75</v>
      </c>
      <c r="H344">
        <v>364.95</v>
      </c>
      <c r="I344">
        <v>371.1</v>
      </c>
      <c r="J344">
        <v>13478340</v>
      </c>
      <c r="K344">
        <v>36400</v>
      </c>
      <c r="L344" t="s">
        <v>18</v>
      </c>
      <c r="M344">
        <v>580</v>
      </c>
      <c r="N344">
        <v>345.05</v>
      </c>
    </row>
    <row r="345" spans="1:14" x14ac:dyDescent="0.25">
      <c r="A345" t="s">
        <v>14</v>
      </c>
      <c r="B345" t="s">
        <v>15</v>
      </c>
      <c r="C345" t="s">
        <v>707</v>
      </c>
      <c r="D345" t="s">
        <v>708</v>
      </c>
      <c r="E345">
        <v>41</v>
      </c>
      <c r="F345">
        <v>43.05</v>
      </c>
      <c r="G345">
        <v>43.05</v>
      </c>
      <c r="H345">
        <v>39</v>
      </c>
      <c r="I345">
        <v>39</v>
      </c>
      <c r="J345">
        <v>376925</v>
      </c>
      <c r="K345">
        <v>9500</v>
      </c>
      <c r="L345" t="s">
        <v>18</v>
      </c>
      <c r="M345">
        <v>180</v>
      </c>
      <c r="N345">
        <v>39</v>
      </c>
    </row>
    <row r="346" spans="1:14" x14ac:dyDescent="0.25">
      <c r="A346" t="s">
        <v>14</v>
      </c>
      <c r="B346" t="s">
        <v>15</v>
      </c>
      <c r="C346" t="s">
        <v>709</v>
      </c>
      <c r="D346" t="s">
        <v>710</v>
      </c>
      <c r="E346">
        <v>55.25</v>
      </c>
      <c r="F346">
        <v>56.35</v>
      </c>
      <c r="G346">
        <v>56.35</v>
      </c>
      <c r="H346">
        <v>50</v>
      </c>
      <c r="I346">
        <v>52.8</v>
      </c>
      <c r="J346">
        <v>1343360</v>
      </c>
      <c r="K346">
        <v>25600</v>
      </c>
      <c r="L346" t="s">
        <v>18</v>
      </c>
      <c r="M346">
        <v>118.9</v>
      </c>
      <c r="N346">
        <v>47.2</v>
      </c>
    </row>
    <row r="347" spans="1:14" x14ac:dyDescent="0.25">
      <c r="A347" t="s">
        <v>14</v>
      </c>
      <c r="B347" t="s">
        <v>15</v>
      </c>
      <c r="C347" t="s">
        <v>711</v>
      </c>
      <c r="D347" t="s">
        <v>712</v>
      </c>
      <c r="E347">
        <v>139.94999999999999</v>
      </c>
      <c r="F347">
        <v>140</v>
      </c>
      <c r="G347">
        <v>142.6</v>
      </c>
      <c r="H347">
        <v>140</v>
      </c>
      <c r="I347">
        <v>142.6</v>
      </c>
      <c r="J347">
        <v>1353000</v>
      </c>
      <c r="K347">
        <v>9600</v>
      </c>
      <c r="L347" t="s">
        <v>18</v>
      </c>
      <c r="M347">
        <v>191</v>
      </c>
      <c r="N347">
        <v>121</v>
      </c>
    </row>
    <row r="348" spans="1:14" x14ac:dyDescent="0.25">
      <c r="A348" t="s">
        <v>14</v>
      </c>
      <c r="B348" t="s">
        <v>15</v>
      </c>
      <c r="C348" t="s">
        <v>713</v>
      </c>
      <c r="D348" t="s">
        <v>714</v>
      </c>
      <c r="E348">
        <v>317.35000000000002</v>
      </c>
      <c r="F348">
        <v>318</v>
      </c>
      <c r="G348">
        <v>319.2</v>
      </c>
      <c r="H348">
        <v>316.60000000000002</v>
      </c>
      <c r="I348">
        <v>317.2</v>
      </c>
      <c r="J348">
        <v>34295640</v>
      </c>
      <c r="K348">
        <v>108000</v>
      </c>
      <c r="L348" t="s">
        <v>18</v>
      </c>
      <c r="M348">
        <v>326.10000000000002</v>
      </c>
      <c r="N348">
        <v>208</v>
      </c>
    </row>
    <row r="349" spans="1:14" x14ac:dyDescent="0.25">
      <c r="A349" t="s">
        <v>14</v>
      </c>
      <c r="B349" t="s">
        <v>15</v>
      </c>
      <c r="C349" t="s">
        <v>715</v>
      </c>
      <c r="D349" t="s">
        <v>716</v>
      </c>
      <c r="E349">
        <v>72</v>
      </c>
      <c r="F349">
        <v>70</v>
      </c>
      <c r="G349">
        <v>70</v>
      </c>
      <c r="H349">
        <v>69</v>
      </c>
      <c r="I349">
        <v>69</v>
      </c>
      <c r="J349">
        <v>222400</v>
      </c>
      <c r="K349">
        <v>3200</v>
      </c>
      <c r="L349" t="s">
        <v>18</v>
      </c>
      <c r="M349">
        <v>139.65</v>
      </c>
      <c r="N349">
        <v>66.650000000000006</v>
      </c>
    </row>
    <row r="350" spans="1:14" x14ac:dyDescent="0.25">
      <c r="A350" t="s">
        <v>14</v>
      </c>
      <c r="B350" t="s">
        <v>15</v>
      </c>
      <c r="C350" t="s">
        <v>717</v>
      </c>
      <c r="D350" t="s">
        <v>718</v>
      </c>
      <c r="E350">
        <v>44</v>
      </c>
      <c r="F350">
        <v>41.55</v>
      </c>
      <c r="G350">
        <v>41.55</v>
      </c>
      <c r="H350">
        <v>41.5</v>
      </c>
      <c r="I350">
        <v>41.5</v>
      </c>
      <c r="J350">
        <v>249100</v>
      </c>
      <c r="K350">
        <v>6000</v>
      </c>
      <c r="L350" t="s">
        <v>18</v>
      </c>
      <c r="M350">
        <v>73.5</v>
      </c>
      <c r="N350">
        <v>39.200000000000003</v>
      </c>
    </row>
    <row r="351" spans="1:14" x14ac:dyDescent="0.25">
      <c r="A351" t="s">
        <v>14</v>
      </c>
      <c r="B351" t="s">
        <v>33</v>
      </c>
      <c r="C351" t="s">
        <v>719</v>
      </c>
      <c r="D351" t="s">
        <v>720</v>
      </c>
      <c r="E351">
        <v>34.4</v>
      </c>
      <c r="F351">
        <v>36</v>
      </c>
      <c r="G351">
        <v>36.1</v>
      </c>
      <c r="H351">
        <v>33.4</v>
      </c>
      <c r="I351">
        <v>33.4</v>
      </c>
      <c r="J351">
        <v>472680</v>
      </c>
      <c r="K351">
        <v>13200</v>
      </c>
      <c r="L351" t="s">
        <v>18</v>
      </c>
      <c r="M351">
        <v>46.9</v>
      </c>
      <c r="N351">
        <v>20.399999999999999</v>
      </c>
    </row>
    <row r="352" spans="1:14" x14ac:dyDescent="0.25">
      <c r="A352" t="s">
        <v>14</v>
      </c>
      <c r="B352" t="s">
        <v>15</v>
      </c>
      <c r="C352" t="s">
        <v>721</v>
      </c>
      <c r="D352" t="s">
        <v>722</v>
      </c>
      <c r="E352">
        <v>131</v>
      </c>
      <c r="F352">
        <v>136.5</v>
      </c>
      <c r="G352">
        <v>136.5</v>
      </c>
      <c r="H352">
        <v>130.5</v>
      </c>
      <c r="I352">
        <v>130.65</v>
      </c>
      <c r="J352">
        <v>4448450</v>
      </c>
      <c r="K352">
        <v>34000</v>
      </c>
      <c r="L352" t="s">
        <v>18</v>
      </c>
      <c r="M352">
        <v>159.5</v>
      </c>
      <c r="N352">
        <v>68.05</v>
      </c>
    </row>
    <row r="353" spans="1:14" x14ac:dyDescent="0.25">
      <c r="A353" t="s">
        <v>14</v>
      </c>
      <c r="B353" t="s">
        <v>15</v>
      </c>
      <c r="C353" t="s">
        <v>723</v>
      </c>
      <c r="D353" t="s">
        <v>724</v>
      </c>
      <c r="E353">
        <v>71.650000000000006</v>
      </c>
      <c r="F353">
        <v>63.2</v>
      </c>
      <c r="G353">
        <v>68.8</v>
      </c>
      <c r="H353">
        <v>62.2</v>
      </c>
      <c r="I353">
        <v>62.75</v>
      </c>
      <c r="J353">
        <v>2405300</v>
      </c>
      <c r="K353">
        <v>38000</v>
      </c>
      <c r="L353" t="s">
        <v>18</v>
      </c>
      <c r="M353">
        <v>95.55</v>
      </c>
      <c r="N353">
        <v>62.05</v>
      </c>
    </row>
    <row r="354" spans="1:14" x14ac:dyDescent="0.25">
      <c r="A354" t="s">
        <v>14</v>
      </c>
      <c r="B354" t="s">
        <v>33</v>
      </c>
      <c r="C354" t="s">
        <v>725</v>
      </c>
      <c r="D354" t="s">
        <v>726</v>
      </c>
      <c r="E354">
        <v>205</v>
      </c>
      <c r="F354">
        <v>205.25</v>
      </c>
      <c r="G354">
        <v>206.6</v>
      </c>
      <c r="H354">
        <v>204.5</v>
      </c>
      <c r="I354">
        <v>206.6</v>
      </c>
      <c r="J354">
        <v>1026250</v>
      </c>
      <c r="K354">
        <v>5000</v>
      </c>
      <c r="L354" t="s">
        <v>18</v>
      </c>
      <c r="M354">
        <v>226.75</v>
      </c>
      <c r="N354">
        <v>71.5</v>
      </c>
    </row>
    <row r="355" spans="1:14" x14ac:dyDescent="0.25">
      <c r="A355" t="s">
        <v>14</v>
      </c>
      <c r="B355" t="s">
        <v>15</v>
      </c>
      <c r="C355" t="s">
        <v>727</v>
      </c>
      <c r="D355" t="s">
        <v>728</v>
      </c>
      <c r="E355">
        <v>117.2</v>
      </c>
      <c r="F355">
        <v>117.2</v>
      </c>
      <c r="G355">
        <v>129.94999999999999</v>
      </c>
      <c r="H355">
        <v>117</v>
      </c>
      <c r="I355">
        <v>125.4</v>
      </c>
      <c r="J355">
        <v>2974650</v>
      </c>
      <c r="K355">
        <v>24000</v>
      </c>
      <c r="L355" t="s">
        <v>18</v>
      </c>
      <c r="M355">
        <v>179</v>
      </c>
      <c r="N355">
        <v>111.5</v>
      </c>
    </row>
    <row r="356" spans="1:14" x14ac:dyDescent="0.25">
      <c r="A356" t="s">
        <v>14</v>
      </c>
      <c r="B356" t="s">
        <v>15</v>
      </c>
      <c r="C356" t="s">
        <v>729</v>
      </c>
      <c r="D356" t="s">
        <v>730</v>
      </c>
      <c r="E356">
        <v>61.8</v>
      </c>
      <c r="F356">
        <v>63.05</v>
      </c>
      <c r="G356">
        <v>69.900000000000006</v>
      </c>
      <c r="H356">
        <v>62.75</v>
      </c>
      <c r="I356">
        <v>67.5</v>
      </c>
      <c r="J356">
        <v>1698600</v>
      </c>
      <c r="K356">
        <v>25500</v>
      </c>
      <c r="L356" t="s">
        <v>18</v>
      </c>
      <c r="M356">
        <v>98.75</v>
      </c>
      <c r="N356">
        <v>41.2</v>
      </c>
    </row>
    <row r="357" spans="1:14" x14ac:dyDescent="0.25">
      <c r="A357" t="s">
        <v>14</v>
      </c>
      <c r="B357" t="s">
        <v>15</v>
      </c>
      <c r="C357" t="s">
        <v>731</v>
      </c>
      <c r="D357" t="s">
        <v>732</v>
      </c>
      <c r="E357">
        <v>95.05</v>
      </c>
      <c r="F357">
        <v>93.5</v>
      </c>
      <c r="G357">
        <v>95</v>
      </c>
      <c r="H357">
        <v>92.7</v>
      </c>
      <c r="I357">
        <v>93.55</v>
      </c>
      <c r="J357">
        <v>1010130</v>
      </c>
      <c r="K357">
        <v>10800</v>
      </c>
      <c r="L357" t="s">
        <v>18</v>
      </c>
      <c r="M357">
        <v>201</v>
      </c>
      <c r="N357">
        <v>71</v>
      </c>
    </row>
    <row r="358" spans="1:14" x14ac:dyDescent="0.25">
      <c r="A358" t="s">
        <v>14</v>
      </c>
      <c r="B358" t="s">
        <v>15</v>
      </c>
      <c r="C358" t="s">
        <v>733</v>
      </c>
      <c r="D358" t="s">
        <v>734</v>
      </c>
      <c r="E358">
        <v>121</v>
      </c>
      <c r="F358">
        <v>117</v>
      </c>
      <c r="G358">
        <v>117</v>
      </c>
      <c r="H358">
        <v>116.95</v>
      </c>
      <c r="I358">
        <v>116.95</v>
      </c>
      <c r="J358">
        <v>233950</v>
      </c>
      <c r="K358">
        <v>2000</v>
      </c>
      <c r="L358" t="s">
        <v>18</v>
      </c>
      <c r="M358">
        <v>148.5</v>
      </c>
      <c r="N358">
        <v>111.5</v>
      </c>
    </row>
    <row r="359" spans="1:14" x14ac:dyDescent="0.25">
      <c r="A359" t="s">
        <v>14</v>
      </c>
      <c r="B359" t="s">
        <v>15</v>
      </c>
      <c r="C359" t="s">
        <v>735</v>
      </c>
      <c r="D359" t="s">
        <v>736</v>
      </c>
      <c r="E359">
        <v>408.3</v>
      </c>
      <c r="F359">
        <v>428</v>
      </c>
      <c r="G359">
        <v>440</v>
      </c>
      <c r="H359">
        <v>428</v>
      </c>
      <c r="I359">
        <v>436</v>
      </c>
      <c r="J359">
        <v>910807.5</v>
      </c>
      <c r="K359">
        <v>2100</v>
      </c>
      <c r="L359" t="s">
        <v>18</v>
      </c>
      <c r="M359">
        <v>798.9</v>
      </c>
      <c r="N359">
        <v>396</v>
      </c>
    </row>
    <row r="360" spans="1:14" x14ac:dyDescent="0.25">
      <c r="A360" t="s">
        <v>14</v>
      </c>
      <c r="B360" t="s">
        <v>15</v>
      </c>
      <c r="C360" t="s">
        <v>737</v>
      </c>
      <c r="D360" t="s">
        <v>738</v>
      </c>
      <c r="E360">
        <v>69.75</v>
      </c>
      <c r="F360">
        <v>70.5</v>
      </c>
      <c r="G360">
        <v>74</v>
      </c>
      <c r="H360">
        <v>70.5</v>
      </c>
      <c r="I360">
        <v>72.75</v>
      </c>
      <c r="J360">
        <v>652250</v>
      </c>
      <c r="K360">
        <v>9000</v>
      </c>
      <c r="L360" t="s">
        <v>18</v>
      </c>
      <c r="M360">
        <v>145.35</v>
      </c>
      <c r="N360">
        <v>69.2</v>
      </c>
    </row>
    <row r="361" spans="1:14" x14ac:dyDescent="0.25">
      <c r="A361" t="s">
        <v>14</v>
      </c>
      <c r="B361" t="s">
        <v>33</v>
      </c>
      <c r="C361" t="s">
        <v>739</v>
      </c>
      <c r="D361" t="s">
        <v>740</v>
      </c>
      <c r="E361">
        <v>646</v>
      </c>
      <c r="F361">
        <v>613.70000000000005</v>
      </c>
      <c r="G361">
        <v>613.70000000000005</v>
      </c>
      <c r="H361">
        <v>613.70000000000005</v>
      </c>
      <c r="I361">
        <v>613.70000000000005</v>
      </c>
      <c r="J361">
        <v>76712.5</v>
      </c>
      <c r="K361">
        <v>125</v>
      </c>
      <c r="L361" t="s">
        <v>18</v>
      </c>
      <c r="M361">
        <v>997</v>
      </c>
      <c r="N361">
        <v>452.95</v>
      </c>
    </row>
    <row r="362" spans="1:14" x14ac:dyDescent="0.25">
      <c r="A362" t="s">
        <v>14</v>
      </c>
      <c r="B362" t="s">
        <v>15</v>
      </c>
      <c r="C362" t="s">
        <v>741</v>
      </c>
      <c r="D362" t="s">
        <v>742</v>
      </c>
      <c r="E362">
        <v>110</v>
      </c>
      <c r="F362">
        <v>110</v>
      </c>
      <c r="G362">
        <v>112</v>
      </c>
      <c r="H362">
        <v>107</v>
      </c>
      <c r="I362">
        <v>111.35</v>
      </c>
      <c r="J362">
        <v>8842000</v>
      </c>
      <c r="K362">
        <v>81000</v>
      </c>
      <c r="L362" t="s">
        <v>18</v>
      </c>
      <c r="M362">
        <v>123.65</v>
      </c>
      <c r="N362">
        <v>95.5</v>
      </c>
    </row>
    <row r="363" spans="1:14" x14ac:dyDescent="0.25">
      <c r="A363" t="s">
        <v>14</v>
      </c>
      <c r="B363" t="s">
        <v>15</v>
      </c>
      <c r="C363" t="s">
        <v>743</v>
      </c>
      <c r="D363" t="s">
        <v>744</v>
      </c>
      <c r="E363">
        <v>242</v>
      </c>
      <c r="F363">
        <v>246.5</v>
      </c>
      <c r="G363">
        <v>251.5</v>
      </c>
      <c r="H363">
        <v>230</v>
      </c>
      <c r="I363">
        <v>235.1</v>
      </c>
      <c r="J363">
        <v>10484130</v>
      </c>
      <c r="K363">
        <v>43800</v>
      </c>
      <c r="L363" t="s">
        <v>18</v>
      </c>
      <c r="M363">
        <v>280.10000000000002</v>
      </c>
      <c r="N363">
        <v>126.5</v>
      </c>
    </row>
    <row r="364" spans="1:14" x14ac:dyDescent="0.25">
      <c r="A364" t="s">
        <v>14</v>
      </c>
      <c r="B364" t="s">
        <v>15</v>
      </c>
      <c r="C364" t="s">
        <v>745</v>
      </c>
      <c r="D364" t="s">
        <v>746</v>
      </c>
      <c r="E364">
        <v>51.95</v>
      </c>
      <c r="F364">
        <v>52.5</v>
      </c>
      <c r="G364">
        <v>52.5</v>
      </c>
      <c r="H364">
        <v>52.5</v>
      </c>
      <c r="I364">
        <v>52.5</v>
      </c>
      <c r="J364">
        <v>210000</v>
      </c>
      <c r="K364">
        <v>4000</v>
      </c>
      <c r="L364" t="s">
        <v>18</v>
      </c>
      <c r="M364">
        <v>84</v>
      </c>
      <c r="N364">
        <v>51</v>
      </c>
    </row>
    <row r="365" spans="1:14" x14ac:dyDescent="0.25">
      <c r="A365" t="s">
        <v>14</v>
      </c>
      <c r="B365" t="s">
        <v>15</v>
      </c>
      <c r="C365" t="s">
        <v>747</v>
      </c>
      <c r="D365" t="s">
        <v>748</v>
      </c>
      <c r="E365">
        <v>27.2</v>
      </c>
      <c r="F365">
        <v>28.5</v>
      </c>
      <c r="G365">
        <v>28.5</v>
      </c>
      <c r="H365">
        <v>27</v>
      </c>
      <c r="I365">
        <v>27.55</v>
      </c>
      <c r="J365">
        <v>619440</v>
      </c>
      <c r="K365">
        <v>22400</v>
      </c>
      <c r="L365" t="s">
        <v>18</v>
      </c>
      <c r="M365">
        <v>88</v>
      </c>
      <c r="N365">
        <v>24</v>
      </c>
    </row>
    <row r="366" spans="1:14" x14ac:dyDescent="0.25">
      <c r="A366" t="s">
        <v>14</v>
      </c>
      <c r="B366" t="s">
        <v>15</v>
      </c>
      <c r="C366" t="s">
        <v>749</v>
      </c>
      <c r="D366" t="s">
        <v>750</v>
      </c>
      <c r="E366">
        <v>55.5</v>
      </c>
      <c r="F366">
        <v>56.6</v>
      </c>
      <c r="G366">
        <v>56.6</v>
      </c>
      <c r="H366">
        <v>54</v>
      </c>
      <c r="I366">
        <v>54</v>
      </c>
      <c r="J366">
        <v>221200</v>
      </c>
      <c r="K366">
        <v>4000</v>
      </c>
      <c r="L366" t="s">
        <v>18</v>
      </c>
      <c r="M366">
        <v>95.5</v>
      </c>
      <c r="N366">
        <v>52.7</v>
      </c>
    </row>
    <row r="367" spans="1:14" x14ac:dyDescent="0.25">
      <c r="A367" t="s">
        <v>14</v>
      </c>
      <c r="B367" t="s">
        <v>15</v>
      </c>
      <c r="C367" t="s">
        <v>751</v>
      </c>
      <c r="D367" t="s">
        <v>752</v>
      </c>
      <c r="E367">
        <v>84.3</v>
      </c>
      <c r="F367">
        <v>85</v>
      </c>
      <c r="G367">
        <v>85</v>
      </c>
      <c r="H367">
        <v>80.5</v>
      </c>
      <c r="I367">
        <v>81.8</v>
      </c>
      <c r="J367">
        <v>2960700</v>
      </c>
      <c r="K367">
        <v>36000</v>
      </c>
      <c r="L367" t="s">
        <v>18</v>
      </c>
      <c r="M367">
        <v>139.65</v>
      </c>
      <c r="N367">
        <v>80.5</v>
      </c>
    </row>
    <row r="368" spans="1:14" x14ac:dyDescent="0.25">
      <c r="A368" t="s">
        <v>14</v>
      </c>
      <c r="B368" t="s">
        <v>15</v>
      </c>
      <c r="C368" t="s">
        <v>753</v>
      </c>
      <c r="D368" t="s">
        <v>754</v>
      </c>
      <c r="E368">
        <v>30.9</v>
      </c>
      <c r="F368">
        <v>30.15</v>
      </c>
      <c r="G368">
        <v>30.95</v>
      </c>
      <c r="H368">
        <v>30.15</v>
      </c>
      <c r="I368">
        <v>30.7</v>
      </c>
      <c r="J368">
        <v>811740</v>
      </c>
      <c r="K368">
        <v>26400</v>
      </c>
      <c r="L368" t="s">
        <v>18</v>
      </c>
      <c r="M368">
        <v>86.4</v>
      </c>
      <c r="N368">
        <v>27.15</v>
      </c>
    </row>
    <row r="369" spans="1:14" x14ac:dyDescent="0.25">
      <c r="A369" t="s">
        <v>14</v>
      </c>
      <c r="B369" t="s">
        <v>15</v>
      </c>
      <c r="C369" t="s">
        <v>755</v>
      </c>
      <c r="D369" t="s">
        <v>756</v>
      </c>
      <c r="E369">
        <v>214.95</v>
      </c>
      <c r="F369">
        <v>218</v>
      </c>
      <c r="G369">
        <v>218</v>
      </c>
      <c r="H369">
        <v>214</v>
      </c>
      <c r="I369">
        <v>214</v>
      </c>
      <c r="J369">
        <v>432000</v>
      </c>
      <c r="K369">
        <v>2000</v>
      </c>
      <c r="L369" t="s">
        <v>18</v>
      </c>
      <c r="M369">
        <v>243</v>
      </c>
      <c r="N369">
        <v>154.05000000000001</v>
      </c>
    </row>
    <row r="370" spans="1:14" x14ac:dyDescent="0.25">
      <c r="A370" t="s">
        <v>14</v>
      </c>
      <c r="B370" t="s">
        <v>15</v>
      </c>
      <c r="C370" t="s">
        <v>757</v>
      </c>
      <c r="D370" t="s">
        <v>758</v>
      </c>
      <c r="E370">
        <v>96.55</v>
      </c>
      <c r="F370">
        <v>100.9</v>
      </c>
      <c r="G370">
        <v>100.9</v>
      </c>
      <c r="H370">
        <v>91.75</v>
      </c>
      <c r="I370">
        <v>91.75</v>
      </c>
      <c r="J370">
        <v>192650</v>
      </c>
      <c r="K370">
        <v>2000</v>
      </c>
      <c r="L370" t="s">
        <v>18</v>
      </c>
      <c r="M370">
        <v>135.6</v>
      </c>
      <c r="N370">
        <v>60</v>
      </c>
    </row>
    <row r="371" spans="1:14" x14ac:dyDescent="0.25">
      <c r="A371" t="s">
        <v>14</v>
      </c>
      <c r="B371" t="s">
        <v>15</v>
      </c>
      <c r="C371" t="s">
        <v>759</v>
      </c>
      <c r="D371" t="s">
        <v>760</v>
      </c>
      <c r="E371">
        <v>97</v>
      </c>
      <c r="F371">
        <v>96</v>
      </c>
      <c r="G371">
        <v>96</v>
      </c>
      <c r="H371">
        <v>96</v>
      </c>
      <c r="I371">
        <v>96</v>
      </c>
      <c r="J371">
        <v>192000</v>
      </c>
      <c r="K371">
        <v>2000</v>
      </c>
      <c r="L371" t="s">
        <v>18</v>
      </c>
      <c r="M371">
        <v>112.1</v>
      </c>
      <c r="N371">
        <v>50.65</v>
      </c>
    </row>
    <row r="372" spans="1:14" x14ac:dyDescent="0.25">
      <c r="A372" t="s">
        <v>14</v>
      </c>
      <c r="B372" t="s">
        <v>15</v>
      </c>
      <c r="C372" t="s">
        <v>761</v>
      </c>
      <c r="D372" t="s">
        <v>762</v>
      </c>
      <c r="E372">
        <v>145</v>
      </c>
      <c r="F372">
        <v>145</v>
      </c>
      <c r="G372">
        <v>145</v>
      </c>
      <c r="H372">
        <v>144.5</v>
      </c>
      <c r="I372">
        <v>144.5</v>
      </c>
      <c r="J372">
        <v>3008800</v>
      </c>
      <c r="K372">
        <v>20800</v>
      </c>
      <c r="L372" t="s">
        <v>18</v>
      </c>
      <c r="M372">
        <v>171</v>
      </c>
      <c r="N372">
        <v>103</v>
      </c>
    </row>
    <row r="373" spans="1:14" x14ac:dyDescent="0.25">
      <c r="A373" t="s">
        <v>14</v>
      </c>
      <c r="B373" t="s">
        <v>15</v>
      </c>
      <c r="C373" t="s">
        <v>763</v>
      </c>
      <c r="D373" t="s">
        <v>764</v>
      </c>
      <c r="E373">
        <v>164</v>
      </c>
      <c r="F373">
        <v>163</v>
      </c>
      <c r="G373">
        <v>163</v>
      </c>
      <c r="H373">
        <v>160</v>
      </c>
      <c r="I373">
        <v>160</v>
      </c>
      <c r="J373">
        <v>729000</v>
      </c>
      <c r="K373">
        <v>4500</v>
      </c>
      <c r="L373" t="s">
        <v>18</v>
      </c>
      <c r="M373">
        <v>263</v>
      </c>
      <c r="N373">
        <v>150</v>
      </c>
    </row>
    <row r="374" spans="1:14" x14ac:dyDescent="0.25">
      <c r="A374" t="s">
        <v>14</v>
      </c>
      <c r="B374" t="s">
        <v>15</v>
      </c>
      <c r="C374" t="s">
        <v>765</v>
      </c>
      <c r="D374" t="s">
        <v>766</v>
      </c>
      <c r="E374">
        <v>225.85</v>
      </c>
      <c r="F374">
        <v>235</v>
      </c>
      <c r="G374">
        <v>235.5</v>
      </c>
      <c r="H374">
        <v>227.9</v>
      </c>
      <c r="I374">
        <v>227.9</v>
      </c>
      <c r="J374">
        <v>2159360</v>
      </c>
      <c r="K374">
        <v>9200</v>
      </c>
      <c r="L374" t="s">
        <v>18</v>
      </c>
      <c r="M374">
        <v>418.2</v>
      </c>
      <c r="N374">
        <v>220.4</v>
      </c>
    </row>
    <row r="375" spans="1:14" x14ac:dyDescent="0.25">
      <c r="A375" t="s">
        <v>14</v>
      </c>
      <c r="B375" t="s">
        <v>15</v>
      </c>
      <c r="C375" t="s">
        <v>767</v>
      </c>
      <c r="D375" t="s">
        <v>768</v>
      </c>
      <c r="E375">
        <v>63.8</v>
      </c>
      <c r="F375">
        <v>63.8</v>
      </c>
      <c r="G375">
        <v>63.8</v>
      </c>
      <c r="H375">
        <v>59.25</v>
      </c>
      <c r="I375">
        <v>60.55</v>
      </c>
      <c r="J375">
        <v>1033080</v>
      </c>
      <c r="K375">
        <v>16800</v>
      </c>
      <c r="L375" t="s">
        <v>18</v>
      </c>
      <c r="M375">
        <v>157.94999999999999</v>
      </c>
      <c r="N375">
        <v>59.25</v>
      </c>
    </row>
    <row r="376" spans="1:14" x14ac:dyDescent="0.25">
      <c r="A376" t="s">
        <v>14</v>
      </c>
      <c r="B376" t="s">
        <v>33</v>
      </c>
      <c r="C376" t="s">
        <v>769</v>
      </c>
      <c r="D376" t="s">
        <v>770</v>
      </c>
      <c r="E376">
        <v>9.3000000000000007</v>
      </c>
      <c r="F376">
        <v>8.85</v>
      </c>
      <c r="G376">
        <v>8.85</v>
      </c>
      <c r="H376">
        <v>8.85</v>
      </c>
      <c r="I376">
        <v>8.85</v>
      </c>
      <c r="J376">
        <v>35754</v>
      </c>
      <c r="K376">
        <v>4040</v>
      </c>
      <c r="L376" t="s">
        <v>18</v>
      </c>
      <c r="M376">
        <v>21.7</v>
      </c>
      <c r="N376">
        <v>5.6</v>
      </c>
    </row>
    <row r="377" spans="1:14" x14ac:dyDescent="0.25">
      <c r="A377" t="s">
        <v>14</v>
      </c>
      <c r="B377" t="s">
        <v>15</v>
      </c>
      <c r="C377" t="s">
        <v>771</v>
      </c>
      <c r="D377" t="s">
        <v>772</v>
      </c>
      <c r="E377">
        <v>50</v>
      </c>
      <c r="F377">
        <v>50.5</v>
      </c>
      <c r="G377">
        <v>50.5</v>
      </c>
      <c r="H377">
        <v>48.1</v>
      </c>
      <c r="I377">
        <v>48.1</v>
      </c>
      <c r="J377">
        <v>398200</v>
      </c>
      <c r="K377">
        <v>8000</v>
      </c>
      <c r="L377" t="s">
        <v>18</v>
      </c>
      <c r="M377">
        <v>122</v>
      </c>
      <c r="N377">
        <v>45.15</v>
      </c>
    </row>
    <row r="378" spans="1:14" x14ac:dyDescent="0.25">
      <c r="A378" t="s">
        <v>14</v>
      </c>
      <c r="B378" t="s">
        <v>15</v>
      </c>
      <c r="C378" t="s">
        <v>773</v>
      </c>
      <c r="D378" t="s">
        <v>774</v>
      </c>
      <c r="E378">
        <v>24.35</v>
      </c>
      <c r="F378">
        <v>23.5</v>
      </c>
      <c r="G378">
        <v>23.5</v>
      </c>
      <c r="H378">
        <v>23.15</v>
      </c>
      <c r="I378">
        <v>23.15</v>
      </c>
      <c r="J378">
        <v>55980</v>
      </c>
      <c r="K378">
        <v>2400</v>
      </c>
      <c r="L378" t="s">
        <v>18</v>
      </c>
      <c r="M378">
        <v>43</v>
      </c>
      <c r="N378">
        <v>23.15</v>
      </c>
    </row>
    <row r="379" spans="1:14" x14ac:dyDescent="0.25">
      <c r="A379" t="s">
        <v>14</v>
      </c>
      <c r="B379" t="s">
        <v>15</v>
      </c>
      <c r="C379" t="s">
        <v>775</v>
      </c>
      <c r="D379" t="s">
        <v>776</v>
      </c>
      <c r="E379">
        <v>38.1</v>
      </c>
      <c r="F379">
        <v>38.950000000000003</v>
      </c>
      <c r="G379">
        <v>39.4</v>
      </c>
      <c r="H379">
        <v>37.6</v>
      </c>
      <c r="I379">
        <v>38.5</v>
      </c>
      <c r="J379">
        <v>268950</v>
      </c>
      <c r="K379">
        <v>7000</v>
      </c>
      <c r="L379" t="s">
        <v>18</v>
      </c>
      <c r="M379">
        <v>118</v>
      </c>
      <c r="N379">
        <v>37.6</v>
      </c>
    </row>
    <row r="380" spans="1:14" x14ac:dyDescent="0.25">
      <c r="A380" t="s">
        <v>14</v>
      </c>
      <c r="B380" t="s">
        <v>15</v>
      </c>
      <c r="C380" t="s">
        <v>777</v>
      </c>
      <c r="D380" t="s">
        <v>778</v>
      </c>
      <c r="E380">
        <v>69.95</v>
      </c>
      <c r="F380">
        <v>69.95</v>
      </c>
      <c r="G380">
        <v>72</v>
      </c>
      <c r="H380">
        <v>69.95</v>
      </c>
      <c r="I380">
        <v>71.3</v>
      </c>
      <c r="J380">
        <v>320925</v>
      </c>
      <c r="K380">
        <v>4500</v>
      </c>
      <c r="L380" t="s">
        <v>18</v>
      </c>
      <c r="M380">
        <v>145</v>
      </c>
      <c r="N380">
        <v>68.599999999999994</v>
      </c>
    </row>
    <row r="381" spans="1:14" x14ac:dyDescent="0.25">
      <c r="A381" t="s">
        <v>14</v>
      </c>
      <c r="B381" t="s">
        <v>15</v>
      </c>
      <c r="C381" t="s">
        <v>779</v>
      </c>
      <c r="D381" t="s">
        <v>780</v>
      </c>
      <c r="E381">
        <v>107.55</v>
      </c>
      <c r="F381">
        <v>102.2</v>
      </c>
      <c r="G381">
        <v>112.9</v>
      </c>
      <c r="H381">
        <v>102.2</v>
      </c>
      <c r="I381">
        <v>112.9</v>
      </c>
      <c r="J381">
        <v>776220</v>
      </c>
      <c r="K381">
        <v>7200</v>
      </c>
      <c r="L381" t="s">
        <v>18</v>
      </c>
      <c r="M381">
        <v>152.35</v>
      </c>
      <c r="N381">
        <v>88.05</v>
      </c>
    </row>
    <row r="382" spans="1:14" x14ac:dyDescent="0.25">
      <c r="A382" t="s">
        <v>14</v>
      </c>
      <c r="B382" t="s">
        <v>33</v>
      </c>
      <c r="C382" t="s">
        <v>781</v>
      </c>
      <c r="D382" t="s">
        <v>782</v>
      </c>
      <c r="E382">
        <v>134.9</v>
      </c>
      <c r="F382">
        <v>128.19999999999999</v>
      </c>
      <c r="G382">
        <v>128.19999999999999</v>
      </c>
      <c r="H382">
        <v>128.19999999999999</v>
      </c>
      <c r="I382">
        <v>128.19999999999999</v>
      </c>
      <c r="J382">
        <v>2461440</v>
      </c>
      <c r="K382">
        <v>19200</v>
      </c>
      <c r="L382" t="s">
        <v>18</v>
      </c>
      <c r="M382">
        <v>199.4</v>
      </c>
      <c r="N382">
        <v>104.55</v>
      </c>
    </row>
    <row r="383" spans="1:14" x14ac:dyDescent="0.25">
      <c r="A383" t="s">
        <v>14</v>
      </c>
      <c r="B383" t="s">
        <v>15</v>
      </c>
      <c r="C383" t="s">
        <v>783</v>
      </c>
      <c r="D383" t="s">
        <v>784</v>
      </c>
      <c r="E383">
        <v>51.5</v>
      </c>
      <c r="F383">
        <v>51.5</v>
      </c>
      <c r="G383">
        <v>51.5</v>
      </c>
      <c r="H383">
        <v>51.5</v>
      </c>
      <c r="I383">
        <v>51.5</v>
      </c>
      <c r="J383">
        <v>103000</v>
      </c>
      <c r="K383">
        <v>2000</v>
      </c>
      <c r="L383" t="s">
        <v>18</v>
      </c>
      <c r="M383">
        <v>60</v>
      </c>
      <c r="N383">
        <v>46.55</v>
      </c>
    </row>
    <row r="384" spans="1:14" x14ac:dyDescent="0.25">
      <c r="A384" t="s">
        <v>14</v>
      </c>
      <c r="B384" t="s">
        <v>15</v>
      </c>
      <c r="C384" t="s">
        <v>785</v>
      </c>
      <c r="D384" t="s">
        <v>786</v>
      </c>
      <c r="E384">
        <v>89.75</v>
      </c>
      <c r="F384">
        <v>88.1</v>
      </c>
      <c r="G384">
        <v>94.1</v>
      </c>
      <c r="H384">
        <v>85.3</v>
      </c>
      <c r="I384">
        <v>87.55</v>
      </c>
      <c r="J384">
        <v>1283240</v>
      </c>
      <c r="K384">
        <v>14400</v>
      </c>
      <c r="L384" t="s">
        <v>18</v>
      </c>
      <c r="M384">
        <v>172.8</v>
      </c>
      <c r="N384">
        <v>69.3</v>
      </c>
    </row>
    <row r="385" spans="1:14" x14ac:dyDescent="0.25">
      <c r="A385" t="s">
        <v>14</v>
      </c>
      <c r="B385" t="s">
        <v>15</v>
      </c>
      <c r="C385" t="s">
        <v>787</v>
      </c>
      <c r="D385" t="s">
        <v>788</v>
      </c>
      <c r="E385">
        <v>15.25</v>
      </c>
      <c r="F385">
        <v>15.35</v>
      </c>
      <c r="G385">
        <v>15.9</v>
      </c>
      <c r="H385">
        <v>15.2</v>
      </c>
      <c r="I385">
        <v>15.2</v>
      </c>
      <c r="J385">
        <v>124400</v>
      </c>
      <c r="K385">
        <v>8000</v>
      </c>
      <c r="L385" t="s">
        <v>18</v>
      </c>
      <c r="M385">
        <v>30.5</v>
      </c>
      <c r="N385">
        <v>13.25</v>
      </c>
    </row>
    <row r="386" spans="1:14" x14ac:dyDescent="0.25">
      <c r="A386" t="s">
        <v>14</v>
      </c>
      <c r="B386" t="s">
        <v>15</v>
      </c>
      <c r="C386" t="s">
        <v>789</v>
      </c>
      <c r="D386" t="s">
        <v>790</v>
      </c>
      <c r="E386">
        <v>114.45</v>
      </c>
      <c r="F386">
        <v>113.3</v>
      </c>
      <c r="G386">
        <v>115</v>
      </c>
      <c r="H386">
        <v>113.3</v>
      </c>
      <c r="I386">
        <v>115</v>
      </c>
      <c r="J386">
        <v>687960</v>
      </c>
      <c r="K386">
        <v>6000</v>
      </c>
      <c r="L386" t="s">
        <v>18</v>
      </c>
      <c r="M386">
        <v>173.55</v>
      </c>
      <c r="N386">
        <v>107.3</v>
      </c>
    </row>
    <row r="387" spans="1:14" x14ac:dyDescent="0.25">
      <c r="A387" t="s">
        <v>14</v>
      </c>
      <c r="B387" t="s">
        <v>15</v>
      </c>
      <c r="C387" t="s">
        <v>791</v>
      </c>
      <c r="D387" t="s">
        <v>792</v>
      </c>
      <c r="E387">
        <v>94.2</v>
      </c>
      <c r="F387">
        <v>94.55</v>
      </c>
      <c r="G387">
        <v>95</v>
      </c>
      <c r="H387">
        <v>86</v>
      </c>
      <c r="I387">
        <v>86.15</v>
      </c>
      <c r="J387">
        <v>4589500</v>
      </c>
      <c r="K387">
        <v>51500</v>
      </c>
      <c r="L387" t="s">
        <v>18</v>
      </c>
      <c r="M387">
        <v>216</v>
      </c>
      <c r="N387">
        <v>86</v>
      </c>
    </row>
    <row r="388" spans="1:14" x14ac:dyDescent="0.25">
      <c r="A388" t="s">
        <v>14</v>
      </c>
      <c r="B388" t="s">
        <v>15</v>
      </c>
      <c r="C388" t="s">
        <v>793</v>
      </c>
      <c r="D388" t="s">
        <v>794</v>
      </c>
      <c r="E388">
        <v>41.1</v>
      </c>
      <c r="F388">
        <v>40.65</v>
      </c>
      <c r="G388">
        <v>41.1</v>
      </c>
      <c r="H388">
        <v>40.4</v>
      </c>
      <c r="I388">
        <v>40.549999999999997</v>
      </c>
      <c r="J388">
        <v>772100</v>
      </c>
      <c r="K388">
        <v>19000</v>
      </c>
      <c r="L388" t="s">
        <v>18</v>
      </c>
      <c r="M388">
        <v>93</v>
      </c>
      <c r="N388">
        <v>40.299999999999997</v>
      </c>
    </row>
    <row r="389" spans="1:14" x14ac:dyDescent="0.25">
      <c r="A389" t="s">
        <v>14</v>
      </c>
      <c r="B389" t="s">
        <v>15</v>
      </c>
      <c r="C389" t="s">
        <v>795</v>
      </c>
      <c r="D389" t="s">
        <v>796</v>
      </c>
      <c r="E389">
        <v>10.9</v>
      </c>
      <c r="F389">
        <v>11.2</v>
      </c>
      <c r="G389">
        <v>11.5</v>
      </c>
      <c r="H389">
        <v>11.05</v>
      </c>
      <c r="I389">
        <v>11.4</v>
      </c>
      <c r="J389">
        <v>674200</v>
      </c>
      <c r="K389">
        <v>60000</v>
      </c>
      <c r="L389" t="s">
        <v>18</v>
      </c>
      <c r="M389">
        <v>43.2</v>
      </c>
      <c r="N389">
        <v>10.15</v>
      </c>
    </row>
    <row r="390" spans="1:14" x14ac:dyDescent="0.25">
      <c r="A390" t="s">
        <v>14</v>
      </c>
      <c r="B390" t="s">
        <v>15</v>
      </c>
      <c r="C390" t="s">
        <v>797</v>
      </c>
      <c r="D390" t="s">
        <v>798</v>
      </c>
      <c r="E390">
        <v>121.55</v>
      </c>
      <c r="F390">
        <v>118.25</v>
      </c>
      <c r="G390">
        <v>121</v>
      </c>
      <c r="H390">
        <v>112.5</v>
      </c>
      <c r="I390">
        <v>115.8</v>
      </c>
      <c r="J390">
        <v>2837220</v>
      </c>
      <c r="K390">
        <v>24000</v>
      </c>
      <c r="L390" t="s">
        <v>18</v>
      </c>
      <c r="M390">
        <v>200</v>
      </c>
      <c r="N390">
        <v>108</v>
      </c>
    </row>
    <row r="391" spans="1:14" x14ac:dyDescent="0.25">
      <c r="A391" t="s">
        <v>14</v>
      </c>
      <c r="B391" t="s">
        <v>15</v>
      </c>
      <c r="C391" t="s">
        <v>799</v>
      </c>
      <c r="D391" t="s">
        <v>800</v>
      </c>
      <c r="E391">
        <v>33</v>
      </c>
      <c r="F391">
        <v>33.25</v>
      </c>
      <c r="G391">
        <v>33.25</v>
      </c>
      <c r="H391">
        <v>29.7</v>
      </c>
      <c r="I391">
        <v>29.8</v>
      </c>
      <c r="J391">
        <v>3957280</v>
      </c>
      <c r="K391">
        <v>129600</v>
      </c>
      <c r="L391" t="s">
        <v>18</v>
      </c>
      <c r="M391">
        <v>68.8</v>
      </c>
      <c r="N391">
        <v>29.7</v>
      </c>
    </row>
    <row r="392" spans="1:14" x14ac:dyDescent="0.25">
      <c r="A392" t="s">
        <v>14</v>
      </c>
      <c r="B392" t="s">
        <v>15</v>
      </c>
      <c r="C392" t="s">
        <v>801</v>
      </c>
      <c r="D392" t="s">
        <v>802</v>
      </c>
      <c r="E392">
        <v>200</v>
      </c>
      <c r="F392">
        <v>203</v>
      </c>
      <c r="G392">
        <v>204.25</v>
      </c>
      <c r="H392">
        <v>200</v>
      </c>
      <c r="I392">
        <v>200</v>
      </c>
      <c r="J392">
        <v>283450</v>
      </c>
      <c r="K392">
        <v>1400</v>
      </c>
      <c r="L392" t="s">
        <v>18</v>
      </c>
      <c r="M392">
        <v>510</v>
      </c>
      <c r="N392">
        <v>181.1</v>
      </c>
    </row>
    <row r="393" spans="1:14" x14ac:dyDescent="0.25">
      <c r="A393" t="s">
        <v>14</v>
      </c>
      <c r="B393" t="s">
        <v>33</v>
      </c>
      <c r="C393" t="s">
        <v>803</v>
      </c>
      <c r="D393" t="s">
        <v>804</v>
      </c>
      <c r="E393">
        <v>369.1</v>
      </c>
      <c r="F393">
        <v>385.7</v>
      </c>
      <c r="G393">
        <v>387.55</v>
      </c>
      <c r="H393">
        <v>373</v>
      </c>
      <c r="I393">
        <v>387.55</v>
      </c>
      <c r="J393">
        <v>11318040</v>
      </c>
      <c r="K393">
        <v>29400</v>
      </c>
      <c r="L393" t="s">
        <v>18</v>
      </c>
      <c r="M393">
        <v>415.5</v>
      </c>
      <c r="N393">
        <v>91</v>
      </c>
    </row>
    <row r="394" spans="1:14" x14ac:dyDescent="0.25">
      <c r="A394" t="s">
        <v>14</v>
      </c>
      <c r="B394" t="s">
        <v>15</v>
      </c>
      <c r="C394" t="s">
        <v>805</v>
      </c>
      <c r="D394" t="s">
        <v>806</v>
      </c>
      <c r="E394">
        <v>32.5</v>
      </c>
      <c r="F394">
        <v>33</v>
      </c>
      <c r="G394">
        <v>33</v>
      </c>
      <c r="H394">
        <v>33</v>
      </c>
      <c r="I394">
        <v>33</v>
      </c>
      <c r="J394">
        <v>52800</v>
      </c>
      <c r="K394">
        <v>1600</v>
      </c>
      <c r="L394" t="s">
        <v>18</v>
      </c>
      <c r="M394">
        <v>75</v>
      </c>
      <c r="N394">
        <v>29.55</v>
      </c>
    </row>
    <row r="395" spans="1:14" x14ac:dyDescent="0.25">
      <c r="A395" t="s">
        <v>14</v>
      </c>
      <c r="B395" t="s">
        <v>15</v>
      </c>
      <c r="C395" t="s">
        <v>807</v>
      </c>
      <c r="D395" t="s">
        <v>808</v>
      </c>
      <c r="E395">
        <v>36</v>
      </c>
      <c r="F395">
        <v>37.799999999999997</v>
      </c>
      <c r="G395">
        <v>37.9</v>
      </c>
      <c r="H395">
        <v>35.700000000000003</v>
      </c>
      <c r="I395">
        <v>35.9</v>
      </c>
      <c r="J395">
        <v>648240</v>
      </c>
      <c r="K395">
        <v>17600</v>
      </c>
      <c r="L395" t="s">
        <v>18</v>
      </c>
      <c r="M395">
        <v>110</v>
      </c>
      <c r="N395">
        <v>32.200000000000003</v>
      </c>
    </row>
    <row r="396" spans="1:14" x14ac:dyDescent="0.25">
      <c r="A396" t="s">
        <v>14</v>
      </c>
      <c r="B396" t="s">
        <v>15</v>
      </c>
      <c r="C396" t="s">
        <v>809</v>
      </c>
      <c r="D396" t="s">
        <v>810</v>
      </c>
      <c r="E396">
        <v>27.3</v>
      </c>
      <c r="F396">
        <v>27.3</v>
      </c>
      <c r="G396">
        <v>27.3</v>
      </c>
      <c r="H396">
        <v>26.8</v>
      </c>
      <c r="I396">
        <v>27.1</v>
      </c>
      <c r="J396">
        <v>259920</v>
      </c>
      <c r="K396">
        <v>9600</v>
      </c>
      <c r="L396" t="s">
        <v>18</v>
      </c>
      <c r="M396">
        <v>49</v>
      </c>
      <c r="N396">
        <v>26</v>
      </c>
    </row>
    <row r="397" spans="1:14" x14ac:dyDescent="0.25">
      <c r="A397" t="s">
        <v>14</v>
      </c>
      <c r="B397" t="s">
        <v>15</v>
      </c>
      <c r="C397" t="s">
        <v>811</v>
      </c>
      <c r="D397" t="s">
        <v>812</v>
      </c>
      <c r="E397">
        <v>157</v>
      </c>
      <c r="F397">
        <v>159</v>
      </c>
      <c r="G397">
        <v>167</v>
      </c>
      <c r="H397">
        <v>151</v>
      </c>
      <c r="I397">
        <v>156.4</v>
      </c>
      <c r="J397">
        <v>12337875</v>
      </c>
      <c r="K397">
        <v>77500</v>
      </c>
      <c r="L397" t="s">
        <v>18</v>
      </c>
      <c r="M397">
        <v>240.05</v>
      </c>
      <c r="N397">
        <v>100</v>
      </c>
    </row>
    <row r="398" spans="1:14" x14ac:dyDescent="0.25">
      <c r="A398" t="s">
        <v>14</v>
      </c>
      <c r="B398" t="s">
        <v>15</v>
      </c>
      <c r="C398" t="s">
        <v>813</v>
      </c>
      <c r="D398" t="s">
        <v>814</v>
      </c>
      <c r="E398">
        <v>61</v>
      </c>
      <c r="F398">
        <v>57.05</v>
      </c>
      <c r="G398">
        <v>61</v>
      </c>
      <c r="H398">
        <v>56.4</v>
      </c>
      <c r="I398">
        <v>57.8</v>
      </c>
      <c r="J398">
        <v>438770</v>
      </c>
      <c r="K398">
        <v>7600</v>
      </c>
      <c r="L398" t="s">
        <v>18</v>
      </c>
      <c r="M398">
        <v>191.85</v>
      </c>
      <c r="N398">
        <v>47.5</v>
      </c>
    </row>
    <row r="399" spans="1:14" x14ac:dyDescent="0.25">
      <c r="A399" t="s">
        <v>14</v>
      </c>
      <c r="B399" t="s">
        <v>33</v>
      </c>
      <c r="C399" t="s">
        <v>815</v>
      </c>
      <c r="D399" t="s">
        <v>816</v>
      </c>
      <c r="E399">
        <v>259.05</v>
      </c>
      <c r="F399">
        <v>269</v>
      </c>
      <c r="G399">
        <v>271</v>
      </c>
      <c r="H399">
        <v>260.5</v>
      </c>
      <c r="I399">
        <v>267.8</v>
      </c>
      <c r="J399">
        <v>29196825</v>
      </c>
      <c r="K399">
        <v>109500</v>
      </c>
      <c r="L399" t="s">
        <v>18</v>
      </c>
      <c r="M399">
        <v>287.45</v>
      </c>
      <c r="N399">
        <v>138.5</v>
      </c>
    </row>
    <row r="400" spans="1:14" x14ac:dyDescent="0.25">
      <c r="A400" t="s">
        <v>14</v>
      </c>
      <c r="B400" t="s">
        <v>15</v>
      </c>
      <c r="C400" t="s">
        <v>817</v>
      </c>
      <c r="D400" t="s">
        <v>818</v>
      </c>
      <c r="E400">
        <v>19.45</v>
      </c>
      <c r="F400">
        <v>19.600000000000001</v>
      </c>
      <c r="G400">
        <v>19.600000000000001</v>
      </c>
      <c r="H400">
        <v>19</v>
      </c>
      <c r="I400">
        <v>19</v>
      </c>
      <c r="J400">
        <v>69720</v>
      </c>
      <c r="K400">
        <v>3600</v>
      </c>
      <c r="L400" t="s">
        <v>18</v>
      </c>
      <c r="M400">
        <v>52.95</v>
      </c>
      <c r="N400">
        <v>18.899999999999999</v>
      </c>
    </row>
    <row r="401" spans="1:14" x14ac:dyDescent="0.25">
      <c r="A401" t="s">
        <v>14</v>
      </c>
      <c r="B401" t="s">
        <v>15</v>
      </c>
      <c r="C401" t="s">
        <v>819</v>
      </c>
      <c r="D401" t="s">
        <v>820</v>
      </c>
      <c r="E401">
        <v>52.15</v>
      </c>
      <c r="F401">
        <v>53</v>
      </c>
      <c r="G401">
        <v>53</v>
      </c>
      <c r="H401">
        <v>50</v>
      </c>
      <c r="I401">
        <v>50</v>
      </c>
      <c r="J401">
        <v>626000</v>
      </c>
      <c r="K401">
        <v>12000</v>
      </c>
      <c r="L401" t="s">
        <v>18</v>
      </c>
      <c r="M401">
        <v>95</v>
      </c>
      <c r="N401">
        <v>50</v>
      </c>
    </row>
    <row r="402" spans="1:14" x14ac:dyDescent="0.25">
      <c r="A402" t="s">
        <v>14</v>
      </c>
      <c r="B402" t="s">
        <v>33</v>
      </c>
      <c r="C402" t="s">
        <v>821</v>
      </c>
      <c r="D402" t="s">
        <v>822</v>
      </c>
      <c r="E402">
        <v>281.39999999999998</v>
      </c>
      <c r="F402">
        <v>274.60000000000002</v>
      </c>
      <c r="G402">
        <v>282</v>
      </c>
      <c r="H402">
        <v>273.10000000000002</v>
      </c>
      <c r="I402">
        <v>277.10000000000002</v>
      </c>
      <c r="J402">
        <v>2230500</v>
      </c>
      <c r="K402">
        <v>8000</v>
      </c>
      <c r="L402" t="s">
        <v>18</v>
      </c>
      <c r="M402">
        <v>411</v>
      </c>
      <c r="N402">
        <v>192.25</v>
      </c>
    </row>
    <row r="403" spans="1:14" x14ac:dyDescent="0.25">
      <c r="A403" t="s">
        <v>14</v>
      </c>
      <c r="B403" t="s">
        <v>15</v>
      </c>
      <c r="C403" t="s">
        <v>823</v>
      </c>
      <c r="D403" t="s">
        <v>824</v>
      </c>
      <c r="E403">
        <v>649.85</v>
      </c>
      <c r="F403">
        <v>649.85</v>
      </c>
      <c r="G403">
        <v>669.9</v>
      </c>
      <c r="H403">
        <v>611.15</v>
      </c>
      <c r="I403">
        <v>623</v>
      </c>
      <c r="J403">
        <v>26318090</v>
      </c>
      <c r="K403">
        <v>41800</v>
      </c>
      <c r="L403" t="s">
        <v>18</v>
      </c>
      <c r="M403">
        <v>1605.35</v>
      </c>
      <c r="N403">
        <v>590</v>
      </c>
    </row>
    <row r="404" spans="1:14" x14ac:dyDescent="0.25">
      <c r="A404" t="s">
        <v>14</v>
      </c>
      <c r="B404" t="s">
        <v>33</v>
      </c>
      <c r="C404" t="s">
        <v>825</v>
      </c>
      <c r="D404" t="s">
        <v>826</v>
      </c>
      <c r="E404">
        <v>600</v>
      </c>
      <c r="F404">
        <v>590</v>
      </c>
      <c r="G404">
        <v>590</v>
      </c>
      <c r="H404">
        <v>580</v>
      </c>
      <c r="I404">
        <v>586.65</v>
      </c>
      <c r="J404">
        <v>735000</v>
      </c>
      <c r="K404">
        <v>1250</v>
      </c>
      <c r="L404" t="s">
        <v>18</v>
      </c>
      <c r="M404">
        <v>817.6</v>
      </c>
      <c r="N404">
        <v>152.55000000000001</v>
      </c>
    </row>
    <row r="405" spans="1:14" x14ac:dyDescent="0.25">
      <c r="A405" t="s">
        <v>14</v>
      </c>
      <c r="B405" t="s">
        <v>15</v>
      </c>
      <c r="C405" t="s">
        <v>827</v>
      </c>
      <c r="D405" t="s">
        <v>828</v>
      </c>
      <c r="E405">
        <v>68</v>
      </c>
      <c r="F405">
        <v>69</v>
      </c>
      <c r="G405">
        <v>69</v>
      </c>
      <c r="H405">
        <v>69</v>
      </c>
      <c r="I405">
        <v>69</v>
      </c>
      <c r="J405">
        <v>51750</v>
      </c>
      <c r="K405">
        <v>750</v>
      </c>
      <c r="L405" t="s">
        <v>18</v>
      </c>
      <c r="M405">
        <v>107.85</v>
      </c>
      <c r="N405">
        <v>59</v>
      </c>
    </row>
    <row r="406" spans="1:14" x14ac:dyDescent="0.25">
      <c r="A406" t="s">
        <v>14</v>
      </c>
      <c r="B406" t="s">
        <v>15</v>
      </c>
      <c r="C406" t="s">
        <v>829</v>
      </c>
      <c r="D406" t="s">
        <v>830</v>
      </c>
      <c r="E406">
        <v>237</v>
      </c>
      <c r="F406">
        <v>244</v>
      </c>
      <c r="G406">
        <v>257.2</v>
      </c>
      <c r="H406">
        <v>240</v>
      </c>
      <c r="I406">
        <v>245.3</v>
      </c>
      <c r="J406">
        <v>6755920</v>
      </c>
      <c r="K406">
        <v>27200</v>
      </c>
      <c r="L406" t="s">
        <v>18</v>
      </c>
      <c r="M406">
        <v>425</v>
      </c>
      <c r="N406">
        <v>193.9</v>
      </c>
    </row>
    <row r="407" spans="1:14" x14ac:dyDescent="0.25">
      <c r="A407" t="s">
        <v>14</v>
      </c>
      <c r="B407" t="s">
        <v>15</v>
      </c>
      <c r="C407" t="s">
        <v>831</v>
      </c>
      <c r="D407" t="s">
        <v>832</v>
      </c>
      <c r="E407">
        <v>76</v>
      </c>
      <c r="F407">
        <v>76.5</v>
      </c>
      <c r="G407">
        <v>77</v>
      </c>
      <c r="H407">
        <v>71.599999999999994</v>
      </c>
      <c r="I407">
        <v>72.05</v>
      </c>
      <c r="J407">
        <v>2114280</v>
      </c>
      <c r="K407">
        <v>28800</v>
      </c>
      <c r="L407" t="s">
        <v>18</v>
      </c>
      <c r="M407">
        <v>175</v>
      </c>
      <c r="N407">
        <v>71.599999999999994</v>
      </c>
    </row>
    <row r="408" spans="1:14" x14ac:dyDescent="0.25">
      <c r="A408" t="s">
        <v>14</v>
      </c>
      <c r="B408" t="s">
        <v>15</v>
      </c>
      <c r="C408" t="s">
        <v>833</v>
      </c>
      <c r="D408" t="s">
        <v>834</v>
      </c>
      <c r="E408">
        <v>542.35</v>
      </c>
      <c r="F408">
        <v>535</v>
      </c>
      <c r="G408">
        <v>535</v>
      </c>
      <c r="H408">
        <v>485</v>
      </c>
      <c r="I408">
        <v>516.85</v>
      </c>
      <c r="J408">
        <v>17341740</v>
      </c>
      <c r="K408">
        <v>34200</v>
      </c>
      <c r="L408" t="s">
        <v>18</v>
      </c>
      <c r="M408">
        <v>843.6</v>
      </c>
      <c r="N408">
        <v>366.7</v>
      </c>
    </row>
    <row r="409" spans="1:14" x14ac:dyDescent="0.25">
      <c r="A409" t="s">
        <v>14</v>
      </c>
      <c r="B409" t="s">
        <v>15</v>
      </c>
      <c r="C409" t="s">
        <v>835</v>
      </c>
      <c r="D409" t="s">
        <v>836</v>
      </c>
      <c r="E409">
        <v>206.3</v>
      </c>
      <c r="F409">
        <v>216.6</v>
      </c>
      <c r="G409">
        <v>216.6</v>
      </c>
      <c r="H409">
        <v>216.6</v>
      </c>
      <c r="I409">
        <v>216.6</v>
      </c>
      <c r="J409">
        <v>3465600</v>
      </c>
      <c r="K409">
        <v>16000</v>
      </c>
      <c r="L409" t="s">
        <v>18</v>
      </c>
      <c r="M409">
        <v>325.7</v>
      </c>
      <c r="N409">
        <v>115.6</v>
      </c>
    </row>
    <row r="410" spans="1:14" x14ac:dyDescent="0.25">
      <c r="A410" t="s">
        <v>204</v>
      </c>
      <c r="B410" t="s">
        <v>33</v>
      </c>
      <c r="C410" t="s">
        <v>837</v>
      </c>
      <c r="D410" t="s">
        <v>838</v>
      </c>
      <c r="E410">
        <v>59.5</v>
      </c>
      <c r="F410">
        <v>58.35</v>
      </c>
      <c r="G410">
        <v>58.35</v>
      </c>
      <c r="H410">
        <v>58.35</v>
      </c>
      <c r="I410">
        <v>58.35</v>
      </c>
      <c r="J410">
        <v>163380</v>
      </c>
      <c r="K410">
        <v>2800</v>
      </c>
      <c r="L410" t="s">
        <v>18</v>
      </c>
      <c r="M410">
        <v>487.95</v>
      </c>
      <c r="N410">
        <v>38.5</v>
      </c>
    </row>
    <row r="411" spans="1:14" x14ac:dyDescent="0.25">
      <c r="A411" t="s">
        <v>14</v>
      </c>
      <c r="B411" t="s">
        <v>15</v>
      </c>
      <c r="C411" t="s">
        <v>839</v>
      </c>
      <c r="D411" t="s">
        <v>840</v>
      </c>
      <c r="E411">
        <v>288</v>
      </c>
      <c r="F411">
        <v>300</v>
      </c>
      <c r="G411">
        <v>302.39999999999998</v>
      </c>
      <c r="H411">
        <v>300</v>
      </c>
      <c r="I411">
        <v>300</v>
      </c>
      <c r="J411">
        <v>841360</v>
      </c>
      <c r="K411">
        <v>2800</v>
      </c>
      <c r="L411" t="s">
        <v>18</v>
      </c>
      <c r="M411">
        <v>363.6</v>
      </c>
      <c r="N411">
        <v>141.05000000000001</v>
      </c>
    </row>
    <row r="412" spans="1:14" x14ac:dyDescent="0.25">
      <c r="A412" t="s">
        <v>14</v>
      </c>
      <c r="B412" t="s">
        <v>15</v>
      </c>
      <c r="C412" t="s">
        <v>841</v>
      </c>
      <c r="D412" t="s">
        <v>842</v>
      </c>
      <c r="E412">
        <v>88</v>
      </c>
      <c r="F412">
        <v>88</v>
      </c>
      <c r="G412">
        <v>89</v>
      </c>
      <c r="H412">
        <v>87.3</v>
      </c>
      <c r="I412">
        <v>88.85</v>
      </c>
      <c r="J412">
        <v>1844160</v>
      </c>
      <c r="K412">
        <v>20800</v>
      </c>
      <c r="L412" t="s">
        <v>18</v>
      </c>
      <c r="M412">
        <v>137</v>
      </c>
      <c r="N412">
        <v>77.150000000000006</v>
      </c>
    </row>
    <row r="413" spans="1:14" x14ac:dyDescent="0.25">
      <c r="A413" t="s">
        <v>14</v>
      </c>
      <c r="B413" t="s">
        <v>15</v>
      </c>
      <c r="C413" t="s">
        <v>843</v>
      </c>
      <c r="D413" t="s">
        <v>844</v>
      </c>
      <c r="E413">
        <v>23.8</v>
      </c>
      <c r="F413">
        <v>22.65</v>
      </c>
      <c r="G413">
        <v>22.65</v>
      </c>
      <c r="H413">
        <v>22.65</v>
      </c>
      <c r="I413">
        <v>22.65</v>
      </c>
      <c r="J413">
        <v>271800</v>
      </c>
      <c r="K413">
        <v>12000</v>
      </c>
      <c r="L413" t="s">
        <v>18</v>
      </c>
      <c r="M413">
        <v>43.5</v>
      </c>
      <c r="N413">
        <v>22.65</v>
      </c>
    </row>
    <row r="414" spans="1:14" x14ac:dyDescent="0.25">
      <c r="A414" t="s">
        <v>14</v>
      </c>
      <c r="B414" t="s">
        <v>15</v>
      </c>
      <c r="C414" t="s">
        <v>845</v>
      </c>
      <c r="D414" t="s">
        <v>846</v>
      </c>
      <c r="E414">
        <v>41</v>
      </c>
      <c r="F414">
        <v>43.05</v>
      </c>
      <c r="G414">
        <v>43.05</v>
      </c>
      <c r="H414">
        <v>43.05</v>
      </c>
      <c r="I414">
        <v>43.05</v>
      </c>
      <c r="J414">
        <v>86100</v>
      </c>
      <c r="K414">
        <v>2000</v>
      </c>
      <c r="L414" t="s">
        <v>18</v>
      </c>
      <c r="M414">
        <v>69.650000000000006</v>
      </c>
      <c r="N414">
        <v>38.4</v>
      </c>
    </row>
    <row r="415" spans="1:14" x14ac:dyDescent="0.25">
      <c r="A415" t="s">
        <v>14</v>
      </c>
      <c r="B415" t="s">
        <v>15</v>
      </c>
      <c r="C415" t="s">
        <v>847</v>
      </c>
      <c r="D415" t="s">
        <v>848</v>
      </c>
      <c r="E415">
        <v>142.05000000000001</v>
      </c>
      <c r="F415">
        <v>142.1</v>
      </c>
      <c r="G415">
        <v>152.94999999999999</v>
      </c>
      <c r="H415">
        <v>141.05000000000001</v>
      </c>
      <c r="I415">
        <v>145.19999999999999</v>
      </c>
      <c r="J415">
        <v>29497900</v>
      </c>
      <c r="K415">
        <v>200000</v>
      </c>
      <c r="L415" t="s">
        <v>18</v>
      </c>
      <c r="M415">
        <v>167.95</v>
      </c>
      <c r="N415">
        <v>85</v>
      </c>
    </row>
    <row r="416" spans="1:14" x14ac:dyDescent="0.25">
      <c r="A416" t="s">
        <v>14</v>
      </c>
      <c r="B416" t="s">
        <v>15</v>
      </c>
      <c r="C416" t="s">
        <v>849</v>
      </c>
      <c r="D416" t="s">
        <v>850</v>
      </c>
      <c r="E416">
        <v>226.45</v>
      </c>
      <c r="F416">
        <v>233</v>
      </c>
      <c r="G416">
        <v>237.75</v>
      </c>
      <c r="H416">
        <v>233</v>
      </c>
      <c r="I416">
        <v>237.75</v>
      </c>
      <c r="J416">
        <v>1394062.5</v>
      </c>
      <c r="K416">
        <v>5875</v>
      </c>
      <c r="L416" t="s">
        <v>18</v>
      </c>
      <c r="M416">
        <v>1328</v>
      </c>
      <c r="N416">
        <v>204.95</v>
      </c>
    </row>
    <row r="417" spans="1:14" x14ac:dyDescent="0.25">
      <c r="A417" t="s">
        <v>14</v>
      </c>
      <c r="B417" t="s">
        <v>15</v>
      </c>
      <c r="C417" t="s">
        <v>851</v>
      </c>
      <c r="D417" t="s">
        <v>852</v>
      </c>
      <c r="E417">
        <v>15.15</v>
      </c>
      <c r="F417">
        <v>14.5</v>
      </c>
      <c r="G417">
        <v>14.5</v>
      </c>
      <c r="H417">
        <v>14.5</v>
      </c>
      <c r="I417">
        <v>14.5</v>
      </c>
      <c r="J417">
        <v>43500</v>
      </c>
      <c r="K417">
        <v>3000</v>
      </c>
      <c r="L417" t="s">
        <v>18</v>
      </c>
      <c r="M417">
        <v>37.799999999999997</v>
      </c>
      <c r="N417">
        <v>13</v>
      </c>
    </row>
    <row r="418" spans="1:14" x14ac:dyDescent="0.25">
      <c r="A418" t="s">
        <v>14</v>
      </c>
      <c r="B418" t="s">
        <v>15</v>
      </c>
      <c r="C418" t="s">
        <v>853</v>
      </c>
      <c r="D418" t="s">
        <v>854</v>
      </c>
      <c r="E418">
        <v>61.35</v>
      </c>
      <c r="F418">
        <v>61.4</v>
      </c>
      <c r="G418">
        <v>61.4</v>
      </c>
      <c r="H418">
        <v>55.2</v>
      </c>
      <c r="I418">
        <v>56.6</v>
      </c>
      <c r="J418">
        <v>1499070</v>
      </c>
      <c r="K418">
        <v>25800</v>
      </c>
      <c r="L418" t="s">
        <v>18</v>
      </c>
      <c r="M418">
        <v>227.55</v>
      </c>
      <c r="N418">
        <v>55.2</v>
      </c>
    </row>
    <row r="419" spans="1:14" x14ac:dyDescent="0.25">
      <c r="A419" t="s">
        <v>14</v>
      </c>
      <c r="B419" t="s">
        <v>15</v>
      </c>
      <c r="C419" t="s">
        <v>855</v>
      </c>
      <c r="D419" t="s">
        <v>856</v>
      </c>
      <c r="E419">
        <v>42.9</v>
      </c>
      <c r="F419">
        <v>42.9</v>
      </c>
      <c r="G419">
        <v>42.9</v>
      </c>
      <c r="H419">
        <v>39.15</v>
      </c>
      <c r="I419">
        <v>40.25</v>
      </c>
      <c r="J419">
        <v>1146120</v>
      </c>
      <c r="K419">
        <v>27600</v>
      </c>
      <c r="L419" t="s">
        <v>18</v>
      </c>
      <c r="M419">
        <v>120</v>
      </c>
      <c r="N419">
        <v>39.15</v>
      </c>
    </row>
    <row r="420" spans="1:14" x14ac:dyDescent="0.25">
      <c r="A420" t="s">
        <v>14</v>
      </c>
      <c r="B420" t="s">
        <v>15</v>
      </c>
      <c r="C420" t="s">
        <v>857</v>
      </c>
      <c r="D420" t="s">
        <v>858</v>
      </c>
      <c r="E420">
        <v>39</v>
      </c>
      <c r="F420">
        <v>37.950000000000003</v>
      </c>
      <c r="G420">
        <v>37.950000000000003</v>
      </c>
      <c r="H420">
        <v>35.1</v>
      </c>
      <c r="I420">
        <v>35.9</v>
      </c>
      <c r="J420">
        <v>511400</v>
      </c>
      <c r="K420">
        <v>14000</v>
      </c>
      <c r="L420" t="s">
        <v>18</v>
      </c>
      <c r="M420">
        <v>79.3</v>
      </c>
      <c r="N420">
        <v>34.1</v>
      </c>
    </row>
    <row r="421" spans="1:14" x14ac:dyDescent="0.25">
      <c r="A421" t="s">
        <v>14</v>
      </c>
      <c r="B421" t="s">
        <v>15</v>
      </c>
      <c r="C421" t="s">
        <v>859</v>
      </c>
      <c r="D421" t="s">
        <v>860</v>
      </c>
      <c r="E421">
        <v>30.05</v>
      </c>
      <c r="F421">
        <v>30.05</v>
      </c>
      <c r="G421">
        <v>30.3</v>
      </c>
      <c r="H421">
        <v>27.05</v>
      </c>
      <c r="I421">
        <v>27.6</v>
      </c>
      <c r="J421">
        <v>15615900</v>
      </c>
      <c r="K421">
        <v>562000</v>
      </c>
      <c r="L421" t="s">
        <v>18</v>
      </c>
      <c r="M421">
        <v>49.8</v>
      </c>
      <c r="N421">
        <v>27.05</v>
      </c>
    </row>
    <row r="422" spans="1:14" x14ac:dyDescent="0.25">
      <c r="A422" t="s">
        <v>14</v>
      </c>
      <c r="B422" t="s">
        <v>15</v>
      </c>
      <c r="C422" t="s">
        <v>861</v>
      </c>
      <c r="D422" t="s">
        <v>862</v>
      </c>
      <c r="E422">
        <v>18.850000000000001</v>
      </c>
      <c r="F422">
        <v>18.7</v>
      </c>
      <c r="G422">
        <v>19.75</v>
      </c>
      <c r="H422">
        <v>18.5</v>
      </c>
      <c r="I422">
        <v>18.95</v>
      </c>
      <c r="J422">
        <v>1051200</v>
      </c>
      <c r="K422">
        <v>56000</v>
      </c>
      <c r="L422" t="s">
        <v>18</v>
      </c>
      <c r="M422">
        <v>33.75</v>
      </c>
      <c r="N422">
        <v>18.5</v>
      </c>
    </row>
    <row r="423" spans="1:14" x14ac:dyDescent="0.25">
      <c r="A423" t="s">
        <v>14</v>
      </c>
      <c r="B423" t="s">
        <v>33</v>
      </c>
      <c r="C423" t="s">
        <v>863</v>
      </c>
      <c r="D423" t="s">
        <v>864</v>
      </c>
      <c r="E423">
        <v>278.25</v>
      </c>
      <c r="F423">
        <v>275</v>
      </c>
      <c r="G423">
        <v>292.14999999999998</v>
      </c>
      <c r="H423">
        <v>275</v>
      </c>
      <c r="I423">
        <v>292.10000000000002</v>
      </c>
      <c r="J423">
        <v>3143700</v>
      </c>
      <c r="K423">
        <v>11000</v>
      </c>
      <c r="L423" t="s">
        <v>18</v>
      </c>
      <c r="M423">
        <v>390.6</v>
      </c>
      <c r="N423">
        <v>120</v>
      </c>
    </row>
    <row r="424" spans="1:14" x14ac:dyDescent="0.25">
      <c r="A424" t="s">
        <v>14</v>
      </c>
      <c r="B424" t="s">
        <v>15</v>
      </c>
      <c r="C424" t="s">
        <v>865</v>
      </c>
      <c r="D424" t="s">
        <v>866</v>
      </c>
      <c r="E424">
        <v>53.95</v>
      </c>
      <c r="F424">
        <v>54</v>
      </c>
      <c r="G424">
        <v>54</v>
      </c>
      <c r="H424">
        <v>48.25</v>
      </c>
      <c r="I424">
        <v>49.55</v>
      </c>
      <c r="J424">
        <v>4457700</v>
      </c>
      <c r="K424">
        <v>88000</v>
      </c>
      <c r="L424" t="s">
        <v>18</v>
      </c>
      <c r="M424">
        <v>98</v>
      </c>
      <c r="N424">
        <v>48.25</v>
      </c>
    </row>
    <row r="425" spans="1:14" x14ac:dyDescent="0.25">
      <c r="A425" t="s">
        <v>14</v>
      </c>
      <c r="B425" t="s">
        <v>15</v>
      </c>
      <c r="C425" t="s">
        <v>867</v>
      </c>
      <c r="D425" t="s">
        <v>868</v>
      </c>
      <c r="E425">
        <v>139</v>
      </c>
      <c r="F425">
        <v>140.5</v>
      </c>
      <c r="G425">
        <v>140.5</v>
      </c>
      <c r="H425">
        <v>140.5</v>
      </c>
      <c r="I425">
        <v>140.5</v>
      </c>
      <c r="J425">
        <v>180402</v>
      </c>
      <c r="K425">
        <v>1284</v>
      </c>
      <c r="L425" t="s">
        <v>18</v>
      </c>
      <c r="M425">
        <v>314.39999999999998</v>
      </c>
      <c r="N425">
        <v>130.69999999999999</v>
      </c>
    </row>
    <row r="426" spans="1:14" x14ac:dyDescent="0.25">
      <c r="A426" t="s">
        <v>14</v>
      </c>
      <c r="B426" t="s">
        <v>15</v>
      </c>
      <c r="C426" t="s">
        <v>869</v>
      </c>
      <c r="D426" t="s">
        <v>870</v>
      </c>
      <c r="E426">
        <v>138</v>
      </c>
      <c r="F426">
        <v>138</v>
      </c>
      <c r="G426">
        <v>141</v>
      </c>
      <c r="H426">
        <v>135.05000000000001</v>
      </c>
      <c r="I426">
        <v>138</v>
      </c>
      <c r="J426">
        <v>1658120</v>
      </c>
      <c r="K426">
        <v>12000</v>
      </c>
      <c r="L426" t="s">
        <v>18</v>
      </c>
      <c r="M426">
        <v>590</v>
      </c>
      <c r="N426">
        <v>134.30000000000001</v>
      </c>
    </row>
    <row r="427" spans="1:14" x14ac:dyDescent="0.25">
      <c r="A427" t="s">
        <v>14</v>
      </c>
      <c r="B427" t="s">
        <v>15</v>
      </c>
      <c r="C427" t="s">
        <v>871</v>
      </c>
      <c r="D427" t="s">
        <v>872</v>
      </c>
      <c r="E427">
        <v>29</v>
      </c>
      <c r="F427">
        <v>29.85</v>
      </c>
      <c r="G427">
        <v>29.85</v>
      </c>
      <c r="H427">
        <v>28.5</v>
      </c>
      <c r="I427">
        <v>28.5</v>
      </c>
      <c r="J427">
        <v>458960</v>
      </c>
      <c r="K427">
        <v>16000</v>
      </c>
      <c r="L427" t="s">
        <v>18</v>
      </c>
      <c r="M427">
        <v>117.9</v>
      </c>
      <c r="N427">
        <v>26.75</v>
      </c>
    </row>
    <row r="428" spans="1:14" x14ac:dyDescent="0.25">
      <c r="A428" t="s">
        <v>14</v>
      </c>
      <c r="B428" t="s">
        <v>15</v>
      </c>
      <c r="C428" t="s">
        <v>873</v>
      </c>
      <c r="D428" t="s">
        <v>874</v>
      </c>
      <c r="E428">
        <v>52</v>
      </c>
      <c r="F428">
        <v>52</v>
      </c>
      <c r="G428">
        <v>52</v>
      </c>
      <c r="H428">
        <v>52</v>
      </c>
      <c r="I428">
        <v>52</v>
      </c>
      <c r="J428">
        <v>624000</v>
      </c>
      <c r="K428">
        <v>12000</v>
      </c>
      <c r="L428" t="s">
        <v>18</v>
      </c>
      <c r="M428">
        <v>67.099999999999994</v>
      </c>
      <c r="N428">
        <v>38</v>
      </c>
    </row>
    <row r="429" spans="1:14" x14ac:dyDescent="0.25">
      <c r="A429" t="s">
        <v>14</v>
      </c>
      <c r="B429" t="s">
        <v>15</v>
      </c>
      <c r="C429" t="s">
        <v>875</v>
      </c>
      <c r="D429" t="s">
        <v>876</v>
      </c>
      <c r="E429">
        <v>226.55</v>
      </c>
      <c r="F429">
        <v>225.5</v>
      </c>
      <c r="G429">
        <v>226.05</v>
      </c>
      <c r="H429">
        <v>218.05</v>
      </c>
      <c r="I429">
        <v>221.35</v>
      </c>
      <c r="J429">
        <v>7453620</v>
      </c>
      <c r="K429">
        <v>33600</v>
      </c>
      <c r="L429" t="s">
        <v>18</v>
      </c>
      <c r="M429">
        <v>281</v>
      </c>
      <c r="N429">
        <v>145.05000000000001</v>
      </c>
    </row>
    <row r="430" spans="1:14" x14ac:dyDescent="0.25">
      <c r="A430" t="s">
        <v>14</v>
      </c>
      <c r="B430" t="s">
        <v>15</v>
      </c>
      <c r="C430" t="s">
        <v>877</v>
      </c>
      <c r="D430" t="s">
        <v>878</v>
      </c>
      <c r="E430">
        <v>571.04999999999995</v>
      </c>
      <c r="F430">
        <v>571.04999999999995</v>
      </c>
      <c r="G430">
        <v>574.9</v>
      </c>
      <c r="H430">
        <v>526</v>
      </c>
      <c r="I430">
        <v>539.85</v>
      </c>
      <c r="J430">
        <v>33831762.5</v>
      </c>
      <c r="K430">
        <v>62500</v>
      </c>
      <c r="L430" t="s">
        <v>18</v>
      </c>
      <c r="M430">
        <v>805</v>
      </c>
      <c r="N430">
        <v>200.3</v>
      </c>
    </row>
    <row r="431" spans="1:14" x14ac:dyDescent="0.25">
      <c r="A431" t="s">
        <v>14</v>
      </c>
      <c r="B431" t="s">
        <v>15</v>
      </c>
      <c r="C431" t="s">
        <v>879</v>
      </c>
      <c r="D431" t="s">
        <v>880</v>
      </c>
      <c r="E431">
        <v>155.05000000000001</v>
      </c>
      <c r="F431">
        <v>162.75</v>
      </c>
      <c r="G431">
        <v>162.75</v>
      </c>
      <c r="H431">
        <v>162.75</v>
      </c>
      <c r="I431">
        <v>162.75</v>
      </c>
      <c r="J431">
        <v>65100</v>
      </c>
      <c r="K431">
        <v>400</v>
      </c>
      <c r="L431" t="s">
        <v>18</v>
      </c>
      <c r="M431">
        <v>315</v>
      </c>
      <c r="N431">
        <v>138</v>
      </c>
    </row>
    <row r="432" spans="1:14" x14ac:dyDescent="0.25">
      <c r="A432" t="s">
        <v>14</v>
      </c>
      <c r="B432" t="s">
        <v>15</v>
      </c>
      <c r="C432" t="s">
        <v>881</v>
      </c>
      <c r="D432" t="s">
        <v>882</v>
      </c>
      <c r="E432">
        <v>29</v>
      </c>
      <c r="F432">
        <v>31.5</v>
      </c>
      <c r="G432">
        <v>31.5</v>
      </c>
      <c r="H432">
        <v>27</v>
      </c>
      <c r="I432">
        <v>27</v>
      </c>
      <c r="J432">
        <v>340575</v>
      </c>
      <c r="K432">
        <v>12000</v>
      </c>
      <c r="L432" t="s">
        <v>18</v>
      </c>
      <c r="M432">
        <v>63.45</v>
      </c>
      <c r="N432">
        <v>22.15</v>
      </c>
    </row>
    <row r="433" spans="1:14" x14ac:dyDescent="0.25">
      <c r="A433" t="s">
        <v>14</v>
      </c>
      <c r="B433" t="s">
        <v>15</v>
      </c>
      <c r="C433" t="s">
        <v>883</v>
      </c>
      <c r="D433" t="s">
        <v>884</v>
      </c>
      <c r="E433">
        <v>233.8</v>
      </c>
      <c r="F433">
        <v>233.8</v>
      </c>
      <c r="G433">
        <v>233.8</v>
      </c>
      <c r="H433">
        <v>233.8</v>
      </c>
      <c r="I433">
        <v>233.8</v>
      </c>
      <c r="J433">
        <v>187040</v>
      </c>
      <c r="K433">
        <v>800</v>
      </c>
      <c r="L433" t="s">
        <v>18</v>
      </c>
      <c r="M433">
        <v>335</v>
      </c>
      <c r="N433">
        <v>81.099999999999994</v>
      </c>
    </row>
    <row r="434" spans="1:14" x14ac:dyDescent="0.25">
      <c r="A434" t="s">
        <v>14</v>
      </c>
      <c r="B434" t="s">
        <v>15</v>
      </c>
      <c r="C434" t="s">
        <v>885</v>
      </c>
      <c r="D434" t="s">
        <v>886</v>
      </c>
      <c r="E434">
        <v>606</v>
      </c>
      <c r="F434">
        <v>601.5</v>
      </c>
      <c r="G434">
        <v>610</v>
      </c>
      <c r="H434">
        <v>601.5</v>
      </c>
      <c r="I434">
        <v>608.35</v>
      </c>
      <c r="J434">
        <v>2872125</v>
      </c>
      <c r="K434">
        <v>4750</v>
      </c>
      <c r="L434" t="s">
        <v>18</v>
      </c>
      <c r="M434">
        <v>704</v>
      </c>
      <c r="N434">
        <v>533</v>
      </c>
    </row>
    <row r="435" spans="1:14" x14ac:dyDescent="0.25">
      <c r="A435" t="s">
        <v>14</v>
      </c>
      <c r="B435" t="s">
        <v>15</v>
      </c>
      <c r="C435" t="s">
        <v>887</v>
      </c>
      <c r="D435" t="s">
        <v>888</v>
      </c>
      <c r="E435">
        <v>97.8</v>
      </c>
      <c r="F435">
        <v>93.05</v>
      </c>
      <c r="G435">
        <v>94.5</v>
      </c>
      <c r="H435">
        <v>92.95</v>
      </c>
      <c r="I435">
        <v>92.95</v>
      </c>
      <c r="J435">
        <v>1351775</v>
      </c>
      <c r="K435">
        <v>14500</v>
      </c>
      <c r="L435" t="s">
        <v>18</v>
      </c>
      <c r="M435">
        <v>318</v>
      </c>
      <c r="N435">
        <v>92.95</v>
      </c>
    </row>
    <row r="436" spans="1:14" x14ac:dyDescent="0.25">
      <c r="A436" t="s">
        <v>14</v>
      </c>
      <c r="B436" t="s">
        <v>15</v>
      </c>
      <c r="C436" t="s">
        <v>889</v>
      </c>
      <c r="D436" t="s">
        <v>890</v>
      </c>
      <c r="E436">
        <v>46.2</v>
      </c>
      <c r="F436">
        <v>48.25</v>
      </c>
      <c r="G436">
        <v>48.5</v>
      </c>
      <c r="H436">
        <v>48.25</v>
      </c>
      <c r="I436">
        <v>48.5</v>
      </c>
      <c r="J436">
        <v>116100</v>
      </c>
      <c r="K436">
        <v>2400</v>
      </c>
      <c r="L436" t="s">
        <v>18</v>
      </c>
      <c r="M436">
        <v>95.9</v>
      </c>
      <c r="N436">
        <v>44</v>
      </c>
    </row>
    <row r="437" spans="1:14" x14ac:dyDescent="0.25">
      <c r="A437" t="s">
        <v>14</v>
      </c>
      <c r="B437" t="s">
        <v>15</v>
      </c>
      <c r="C437" t="s">
        <v>891</v>
      </c>
      <c r="D437" t="s">
        <v>892</v>
      </c>
      <c r="E437">
        <v>64.5</v>
      </c>
      <c r="F437">
        <v>67.650000000000006</v>
      </c>
      <c r="G437">
        <v>67.650000000000006</v>
      </c>
      <c r="H437">
        <v>65</v>
      </c>
      <c r="I437">
        <v>65</v>
      </c>
      <c r="J437">
        <v>655600</v>
      </c>
      <c r="K437">
        <v>10000</v>
      </c>
      <c r="L437" t="s">
        <v>18</v>
      </c>
      <c r="M437">
        <v>99.55</v>
      </c>
      <c r="N437">
        <v>49.3</v>
      </c>
    </row>
    <row r="438" spans="1:14" x14ac:dyDescent="0.25">
      <c r="A438" t="s">
        <v>14</v>
      </c>
      <c r="B438" t="s">
        <v>33</v>
      </c>
      <c r="C438" t="s">
        <v>893</v>
      </c>
      <c r="D438" t="s">
        <v>894</v>
      </c>
      <c r="E438">
        <v>21.85</v>
      </c>
      <c r="F438">
        <v>21.4</v>
      </c>
      <c r="G438">
        <v>22.9</v>
      </c>
      <c r="H438">
        <v>21.3</v>
      </c>
      <c r="I438">
        <v>22.9</v>
      </c>
      <c r="J438">
        <v>13353000</v>
      </c>
      <c r="K438">
        <v>603000</v>
      </c>
      <c r="L438" t="s">
        <v>18</v>
      </c>
      <c r="M438">
        <v>34.450000000000003</v>
      </c>
      <c r="N438">
        <v>21.3</v>
      </c>
    </row>
    <row r="439" spans="1:14" x14ac:dyDescent="0.25">
      <c r="A439" t="s">
        <v>14</v>
      </c>
      <c r="B439" t="s">
        <v>15</v>
      </c>
      <c r="C439" t="s">
        <v>895</v>
      </c>
      <c r="D439" t="s">
        <v>896</v>
      </c>
      <c r="E439">
        <v>66</v>
      </c>
      <c r="F439">
        <v>60</v>
      </c>
      <c r="G439">
        <v>64.25</v>
      </c>
      <c r="H439">
        <v>60</v>
      </c>
      <c r="I439">
        <v>63.1</v>
      </c>
      <c r="J439">
        <v>601120</v>
      </c>
      <c r="K439">
        <v>9600</v>
      </c>
      <c r="L439" t="s">
        <v>18</v>
      </c>
      <c r="M439">
        <v>98</v>
      </c>
      <c r="N439">
        <v>60</v>
      </c>
    </row>
    <row r="440" spans="1:14" x14ac:dyDescent="0.25">
      <c r="A440" t="s">
        <v>14</v>
      </c>
      <c r="B440" t="s">
        <v>15</v>
      </c>
      <c r="C440" t="s">
        <v>897</v>
      </c>
      <c r="D440" t="s">
        <v>898</v>
      </c>
      <c r="E440">
        <v>43.5</v>
      </c>
      <c r="F440">
        <v>41.1</v>
      </c>
      <c r="G440">
        <v>42</v>
      </c>
      <c r="H440">
        <v>40.799999999999997</v>
      </c>
      <c r="I440">
        <v>41.5</v>
      </c>
      <c r="J440">
        <v>1159600</v>
      </c>
      <c r="K440">
        <v>28000</v>
      </c>
      <c r="L440" t="s">
        <v>18</v>
      </c>
      <c r="M440">
        <v>55.5</v>
      </c>
      <c r="N440">
        <v>35</v>
      </c>
    </row>
    <row r="441" spans="1:14" x14ac:dyDescent="0.25">
      <c r="A441" t="s">
        <v>14</v>
      </c>
      <c r="B441" t="s">
        <v>15</v>
      </c>
      <c r="C441" t="s">
        <v>899</v>
      </c>
      <c r="D441" t="s">
        <v>900</v>
      </c>
      <c r="E441">
        <v>345.15</v>
      </c>
      <c r="F441">
        <v>340.15</v>
      </c>
      <c r="G441">
        <v>346</v>
      </c>
      <c r="H441">
        <v>325</v>
      </c>
      <c r="I441">
        <v>335.65</v>
      </c>
      <c r="J441">
        <v>5181425</v>
      </c>
      <c r="K441">
        <v>15500</v>
      </c>
      <c r="L441" t="s">
        <v>18</v>
      </c>
      <c r="M441">
        <v>673.7</v>
      </c>
      <c r="N441">
        <v>291</v>
      </c>
    </row>
    <row r="442" spans="1:14" x14ac:dyDescent="0.25">
      <c r="A442" t="s">
        <v>14</v>
      </c>
      <c r="B442" t="s">
        <v>33</v>
      </c>
      <c r="C442" t="s">
        <v>901</v>
      </c>
      <c r="D442" t="s">
        <v>902</v>
      </c>
      <c r="E442">
        <v>31.8</v>
      </c>
      <c r="F442">
        <v>33.35</v>
      </c>
      <c r="G442">
        <v>33.35</v>
      </c>
      <c r="H442">
        <v>31.8</v>
      </c>
      <c r="I442">
        <v>33.35</v>
      </c>
      <c r="J442">
        <v>3807800</v>
      </c>
      <c r="K442">
        <v>116000</v>
      </c>
      <c r="L442" t="s">
        <v>18</v>
      </c>
      <c r="M442">
        <v>33.35</v>
      </c>
      <c r="N442">
        <v>16.5</v>
      </c>
    </row>
    <row r="443" spans="1:14" x14ac:dyDescent="0.25">
      <c r="A443" t="s">
        <v>14</v>
      </c>
      <c r="B443" t="s">
        <v>15</v>
      </c>
      <c r="C443" t="s">
        <v>903</v>
      </c>
      <c r="D443" t="s">
        <v>904</v>
      </c>
      <c r="E443">
        <v>372.3</v>
      </c>
      <c r="F443">
        <v>371.45</v>
      </c>
      <c r="G443">
        <v>377.55</v>
      </c>
      <c r="H443">
        <v>369</v>
      </c>
      <c r="I443">
        <v>371.25</v>
      </c>
      <c r="J443">
        <v>3806387.5</v>
      </c>
      <c r="K443">
        <v>10250</v>
      </c>
      <c r="L443" t="s">
        <v>18</v>
      </c>
      <c r="M443">
        <v>475</v>
      </c>
      <c r="N443">
        <v>300</v>
      </c>
    </row>
    <row r="444" spans="1:14" x14ac:dyDescent="0.25">
      <c r="A444" t="s">
        <v>14</v>
      </c>
      <c r="B444" t="s">
        <v>15</v>
      </c>
      <c r="C444" t="s">
        <v>905</v>
      </c>
      <c r="D444" t="s">
        <v>906</v>
      </c>
      <c r="E444">
        <v>1042.7</v>
      </c>
      <c r="F444">
        <v>1035</v>
      </c>
      <c r="G444">
        <v>1069</v>
      </c>
      <c r="H444">
        <v>1035</v>
      </c>
      <c r="I444">
        <v>1060.6500000000001</v>
      </c>
      <c r="J444">
        <v>12487155</v>
      </c>
      <c r="K444">
        <v>11800</v>
      </c>
      <c r="L444" t="s">
        <v>18</v>
      </c>
      <c r="M444">
        <v>1440</v>
      </c>
      <c r="N444">
        <v>575.79999999999995</v>
      </c>
    </row>
    <row r="445" spans="1:14" x14ac:dyDescent="0.25">
      <c r="A445" t="s">
        <v>14</v>
      </c>
      <c r="B445" t="s">
        <v>15</v>
      </c>
      <c r="C445" t="s">
        <v>907</v>
      </c>
      <c r="D445" t="s">
        <v>908</v>
      </c>
      <c r="E445">
        <v>139.55000000000001</v>
      </c>
      <c r="F445">
        <v>140</v>
      </c>
      <c r="G445">
        <v>143</v>
      </c>
      <c r="H445">
        <v>138</v>
      </c>
      <c r="I445">
        <v>142.15</v>
      </c>
      <c r="J445">
        <v>3227200</v>
      </c>
      <c r="K445">
        <v>23000</v>
      </c>
      <c r="L445" t="s">
        <v>18</v>
      </c>
      <c r="M445">
        <v>208</v>
      </c>
      <c r="N445">
        <v>122</v>
      </c>
    </row>
    <row r="446" spans="1:14" x14ac:dyDescent="0.25">
      <c r="A446" t="s">
        <v>14</v>
      </c>
      <c r="B446" t="s">
        <v>33</v>
      </c>
      <c r="C446" t="s">
        <v>909</v>
      </c>
      <c r="D446" t="s">
        <v>910</v>
      </c>
      <c r="E446">
        <v>136.80000000000001</v>
      </c>
      <c r="F446">
        <v>133.19999999999999</v>
      </c>
      <c r="G446">
        <v>134.75</v>
      </c>
      <c r="H446">
        <v>130</v>
      </c>
      <c r="I446">
        <v>133.55000000000001</v>
      </c>
      <c r="J446">
        <v>927500</v>
      </c>
      <c r="K446">
        <v>7000</v>
      </c>
      <c r="L446" t="s">
        <v>18</v>
      </c>
      <c r="M446">
        <v>145</v>
      </c>
      <c r="N446">
        <v>34</v>
      </c>
    </row>
    <row r="447" spans="1:14" x14ac:dyDescent="0.25">
      <c r="A447" t="s">
        <v>14</v>
      </c>
      <c r="B447" t="s">
        <v>15</v>
      </c>
      <c r="C447" t="s">
        <v>911</v>
      </c>
      <c r="D447" t="s">
        <v>912</v>
      </c>
      <c r="E447">
        <v>198.8</v>
      </c>
      <c r="F447">
        <v>195.5</v>
      </c>
      <c r="G447">
        <v>205</v>
      </c>
      <c r="H447">
        <v>189</v>
      </c>
      <c r="I447">
        <v>203</v>
      </c>
      <c r="J447">
        <v>5037400</v>
      </c>
      <c r="K447">
        <v>25500</v>
      </c>
      <c r="L447" t="s">
        <v>18</v>
      </c>
      <c r="M447">
        <v>279.95</v>
      </c>
      <c r="N447">
        <v>145</v>
      </c>
    </row>
    <row r="448" spans="1:14" x14ac:dyDescent="0.25">
      <c r="A448" t="s">
        <v>14</v>
      </c>
      <c r="B448" t="s">
        <v>15</v>
      </c>
      <c r="C448" t="s">
        <v>913</v>
      </c>
      <c r="D448" t="s">
        <v>914</v>
      </c>
      <c r="E448">
        <v>40.15</v>
      </c>
      <c r="F448">
        <v>39.049999999999997</v>
      </c>
      <c r="G448">
        <v>39.049999999999997</v>
      </c>
      <c r="H448">
        <v>39.049999999999997</v>
      </c>
      <c r="I448">
        <v>39.049999999999997</v>
      </c>
      <c r="J448">
        <v>62480</v>
      </c>
      <c r="K448">
        <v>1600</v>
      </c>
      <c r="L448" t="s">
        <v>18</v>
      </c>
      <c r="M448">
        <v>78</v>
      </c>
      <c r="N448">
        <v>36.1</v>
      </c>
    </row>
    <row r="449" spans="1:14" x14ac:dyDescent="0.25">
      <c r="A449" t="s">
        <v>14</v>
      </c>
      <c r="B449" t="s">
        <v>33</v>
      </c>
      <c r="C449" t="s">
        <v>915</v>
      </c>
      <c r="D449" t="s">
        <v>916</v>
      </c>
      <c r="E449">
        <v>213</v>
      </c>
      <c r="F449">
        <v>212</v>
      </c>
      <c r="G449">
        <v>223.65</v>
      </c>
      <c r="H449">
        <v>202.35</v>
      </c>
      <c r="I449">
        <v>223.65</v>
      </c>
      <c r="J449">
        <v>9905600</v>
      </c>
      <c r="K449">
        <v>46400</v>
      </c>
      <c r="L449" t="s">
        <v>18</v>
      </c>
      <c r="M449">
        <v>307.89999999999998</v>
      </c>
      <c r="N449">
        <v>111.95</v>
      </c>
    </row>
    <row r="450" spans="1:14" x14ac:dyDescent="0.25">
      <c r="A450" t="s">
        <v>14</v>
      </c>
      <c r="B450" t="s">
        <v>15</v>
      </c>
      <c r="C450" t="s">
        <v>917</v>
      </c>
      <c r="D450" t="s">
        <v>918</v>
      </c>
      <c r="E450">
        <v>54.55</v>
      </c>
      <c r="F450">
        <v>54.55</v>
      </c>
      <c r="G450">
        <v>54.55</v>
      </c>
      <c r="H450">
        <v>52</v>
      </c>
      <c r="I450">
        <v>52.9</v>
      </c>
      <c r="J450">
        <v>951240</v>
      </c>
      <c r="K450">
        <v>18000</v>
      </c>
      <c r="L450" t="s">
        <v>18</v>
      </c>
      <c r="M450">
        <v>77</v>
      </c>
      <c r="N450">
        <v>48.1</v>
      </c>
    </row>
    <row r="451" spans="1:14" x14ac:dyDescent="0.25">
      <c r="A451" t="s">
        <v>14</v>
      </c>
      <c r="B451" t="s">
        <v>15</v>
      </c>
      <c r="C451" t="s">
        <v>919</v>
      </c>
      <c r="D451" t="s">
        <v>920</v>
      </c>
      <c r="E451">
        <v>601.45000000000005</v>
      </c>
      <c r="F451">
        <v>601.45000000000005</v>
      </c>
      <c r="G451">
        <v>658</v>
      </c>
      <c r="H451">
        <v>601.45000000000005</v>
      </c>
      <c r="I451">
        <v>640.65</v>
      </c>
      <c r="J451">
        <v>14422880</v>
      </c>
      <c r="K451">
        <v>22600</v>
      </c>
      <c r="L451" t="s">
        <v>18</v>
      </c>
      <c r="M451">
        <v>1860</v>
      </c>
      <c r="N451">
        <v>565</v>
      </c>
    </row>
    <row r="452" spans="1:14" x14ac:dyDescent="0.25">
      <c r="A452" t="s">
        <v>14</v>
      </c>
      <c r="B452" t="s">
        <v>15</v>
      </c>
      <c r="C452" t="s">
        <v>921</v>
      </c>
      <c r="D452" t="s">
        <v>922</v>
      </c>
      <c r="E452">
        <v>235.9</v>
      </c>
      <c r="F452">
        <v>246.8</v>
      </c>
      <c r="G452">
        <v>246.8</v>
      </c>
      <c r="H452">
        <v>236.1</v>
      </c>
      <c r="I452">
        <v>239</v>
      </c>
      <c r="J452">
        <v>1918600</v>
      </c>
      <c r="K452">
        <v>8000</v>
      </c>
      <c r="L452" t="s">
        <v>18</v>
      </c>
      <c r="M452">
        <v>255</v>
      </c>
      <c r="N452">
        <v>77.400000000000006</v>
      </c>
    </row>
    <row r="453" spans="1:14" x14ac:dyDescent="0.25">
      <c r="A453" t="s">
        <v>14</v>
      </c>
      <c r="B453" t="s">
        <v>15</v>
      </c>
      <c r="C453" t="s">
        <v>923</v>
      </c>
      <c r="D453" t="s">
        <v>924</v>
      </c>
      <c r="E453">
        <v>47.85</v>
      </c>
      <c r="F453">
        <v>45.5</v>
      </c>
      <c r="G453">
        <v>45.5</v>
      </c>
      <c r="H453">
        <v>45.5</v>
      </c>
      <c r="I453">
        <v>45.5</v>
      </c>
      <c r="J453">
        <v>91000</v>
      </c>
      <c r="K453">
        <v>2000</v>
      </c>
      <c r="L453" t="s">
        <v>18</v>
      </c>
      <c r="M453">
        <v>53.3</v>
      </c>
      <c r="N453">
        <v>37.700000000000003</v>
      </c>
    </row>
    <row r="454" spans="1:14" x14ac:dyDescent="0.25">
      <c r="A454" t="s">
        <v>14</v>
      </c>
      <c r="B454" t="s">
        <v>15</v>
      </c>
      <c r="C454" t="s">
        <v>925</v>
      </c>
      <c r="D454" t="s">
        <v>926</v>
      </c>
      <c r="E454">
        <v>135.05000000000001</v>
      </c>
      <c r="F454">
        <v>134.30000000000001</v>
      </c>
      <c r="G454">
        <v>134.65</v>
      </c>
      <c r="H454">
        <v>133.25</v>
      </c>
      <c r="I454">
        <v>134.5</v>
      </c>
      <c r="J454">
        <v>535540</v>
      </c>
      <c r="K454">
        <v>4000</v>
      </c>
      <c r="L454" t="s">
        <v>18</v>
      </c>
      <c r="M454">
        <v>272</v>
      </c>
      <c r="N454">
        <v>127.6</v>
      </c>
    </row>
    <row r="455" spans="1:14" x14ac:dyDescent="0.25">
      <c r="A455" t="s">
        <v>14</v>
      </c>
      <c r="B455" t="s">
        <v>15</v>
      </c>
      <c r="C455" t="s">
        <v>927</v>
      </c>
      <c r="D455" t="s">
        <v>928</v>
      </c>
      <c r="E455">
        <v>116.9</v>
      </c>
      <c r="F455">
        <v>116.9</v>
      </c>
      <c r="G455">
        <v>124.5</v>
      </c>
      <c r="H455">
        <v>115</v>
      </c>
      <c r="I455">
        <v>124.5</v>
      </c>
      <c r="J455">
        <v>718975</v>
      </c>
      <c r="K455">
        <v>6000</v>
      </c>
      <c r="L455" t="s">
        <v>18</v>
      </c>
      <c r="M455">
        <v>204</v>
      </c>
      <c r="N455">
        <v>113</v>
      </c>
    </row>
    <row r="456" spans="1:14" x14ac:dyDescent="0.25">
      <c r="A456" t="s">
        <v>14</v>
      </c>
      <c r="B456" t="s">
        <v>33</v>
      </c>
      <c r="C456" t="s">
        <v>929</v>
      </c>
      <c r="D456" t="s">
        <v>930</v>
      </c>
      <c r="E456">
        <v>114.95</v>
      </c>
      <c r="F456">
        <v>116.95</v>
      </c>
      <c r="G456">
        <v>120.65</v>
      </c>
      <c r="H456">
        <v>113</v>
      </c>
      <c r="I456">
        <v>113</v>
      </c>
      <c r="J456">
        <v>1166250</v>
      </c>
      <c r="K456">
        <v>10000</v>
      </c>
      <c r="L456" t="s">
        <v>18</v>
      </c>
      <c r="M456">
        <v>209.95</v>
      </c>
      <c r="N456">
        <v>97</v>
      </c>
    </row>
    <row r="457" spans="1:14" x14ac:dyDescent="0.25">
      <c r="A457" t="s">
        <v>14</v>
      </c>
      <c r="B457" t="s">
        <v>15</v>
      </c>
      <c r="C457" t="s">
        <v>931</v>
      </c>
      <c r="D457" t="s">
        <v>932</v>
      </c>
      <c r="E457">
        <v>225.9</v>
      </c>
      <c r="F457">
        <v>225.9</v>
      </c>
      <c r="G457">
        <v>227.95</v>
      </c>
      <c r="H457">
        <v>210.3</v>
      </c>
      <c r="I457">
        <v>212.25</v>
      </c>
      <c r="J457">
        <v>3994300</v>
      </c>
      <c r="K457">
        <v>18400</v>
      </c>
      <c r="L457" t="s">
        <v>18</v>
      </c>
      <c r="M457">
        <v>380.1</v>
      </c>
      <c r="N457">
        <v>210.3</v>
      </c>
    </row>
    <row r="458" spans="1:14" x14ac:dyDescent="0.25">
      <c r="A458" t="s">
        <v>14</v>
      </c>
      <c r="B458" t="s">
        <v>15</v>
      </c>
      <c r="C458" t="s">
        <v>933</v>
      </c>
      <c r="D458" t="s">
        <v>934</v>
      </c>
      <c r="E458">
        <v>117.4</v>
      </c>
      <c r="F458">
        <v>115</v>
      </c>
      <c r="G458">
        <v>119.5</v>
      </c>
      <c r="H458">
        <v>115</v>
      </c>
      <c r="I458">
        <v>118</v>
      </c>
      <c r="J458">
        <v>940400</v>
      </c>
      <c r="K458">
        <v>8000</v>
      </c>
      <c r="L458" t="s">
        <v>18</v>
      </c>
      <c r="M458">
        <v>153.5</v>
      </c>
      <c r="N458">
        <v>72.599999999999994</v>
      </c>
    </row>
    <row r="459" spans="1:14" x14ac:dyDescent="0.25">
      <c r="A459" t="s">
        <v>14</v>
      </c>
      <c r="B459" t="s">
        <v>15</v>
      </c>
      <c r="C459" t="s">
        <v>935</v>
      </c>
      <c r="D459" t="s">
        <v>936</v>
      </c>
      <c r="E459">
        <v>578.4</v>
      </c>
      <c r="F459">
        <v>561</v>
      </c>
      <c r="G459">
        <v>586.85</v>
      </c>
      <c r="H459">
        <v>557.5</v>
      </c>
      <c r="I459">
        <v>560.5</v>
      </c>
      <c r="J459">
        <v>7018485</v>
      </c>
      <c r="K459">
        <v>12300</v>
      </c>
      <c r="L459" t="s">
        <v>18</v>
      </c>
      <c r="M459">
        <v>701</v>
      </c>
      <c r="N459">
        <v>460</v>
      </c>
    </row>
    <row r="460" spans="1:14" x14ac:dyDescent="0.25">
      <c r="A460" t="s">
        <v>14</v>
      </c>
      <c r="B460" t="s">
        <v>15</v>
      </c>
      <c r="C460" t="s">
        <v>937</v>
      </c>
      <c r="D460" t="s">
        <v>938</v>
      </c>
      <c r="E460">
        <v>76.25</v>
      </c>
      <c r="F460">
        <v>75.099999999999994</v>
      </c>
      <c r="G460">
        <v>75.099999999999994</v>
      </c>
      <c r="H460">
        <v>72</v>
      </c>
      <c r="I460">
        <v>72.650000000000006</v>
      </c>
      <c r="J460">
        <v>440220</v>
      </c>
      <c r="K460">
        <v>6000</v>
      </c>
      <c r="L460" t="s">
        <v>18</v>
      </c>
      <c r="M460">
        <v>165.8</v>
      </c>
      <c r="N460">
        <v>72</v>
      </c>
    </row>
    <row r="461" spans="1:14" x14ac:dyDescent="0.25">
      <c r="A461" t="s">
        <v>14</v>
      </c>
      <c r="B461" t="s">
        <v>15</v>
      </c>
      <c r="C461" t="s">
        <v>939</v>
      </c>
      <c r="D461" t="s">
        <v>940</v>
      </c>
      <c r="E461">
        <v>46.75</v>
      </c>
      <c r="F461">
        <v>46.75</v>
      </c>
      <c r="G461">
        <v>47</v>
      </c>
      <c r="H461">
        <v>46</v>
      </c>
      <c r="I461">
        <v>47</v>
      </c>
      <c r="J461">
        <v>782840</v>
      </c>
      <c r="K461">
        <v>16800</v>
      </c>
      <c r="L461" t="s">
        <v>18</v>
      </c>
      <c r="M461">
        <v>107</v>
      </c>
      <c r="N461">
        <v>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43"/>
  <sheetViews>
    <sheetView workbookViewId="0">
      <selection activeCell="L14" sqref="L14"/>
    </sheetView>
  </sheetViews>
  <sheetFormatPr defaultRowHeight="15" x14ac:dyDescent="0.25"/>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t="s">
        <v>14</v>
      </c>
      <c r="B2" t="s">
        <v>15</v>
      </c>
      <c r="C2" t="s">
        <v>16</v>
      </c>
      <c r="D2" t="s">
        <v>17</v>
      </c>
      <c r="E2">
        <v>69.7</v>
      </c>
      <c r="F2">
        <v>66.25</v>
      </c>
      <c r="G2">
        <v>73.099999999999994</v>
      </c>
      <c r="H2">
        <v>66.25</v>
      </c>
      <c r="I2">
        <v>73.099999999999994</v>
      </c>
      <c r="J2">
        <v>2615900</v>
      </c>
      <c r="K2">
        <v>36000</v>
      </c>
      <c r="L2" t="s">
        <v>18</v>
      </c>
      <c r="M2">
        <v>73.099999999999994</v>
      </c>
      <c r="N2">
        <v>37.299999999999997</v>
      </c>
    </row>
    <row r="3" spans="1:14" x14ac:dyDescent="0.25">
      <c r="A3" t="s">
        <v>14</v>
      </c>
      <c r="B3" t="s">
        <v>15</v>
      </c>
      <c r="C3" t="s">
        <v>19</v>
      </c>
      <c r="D3" t="s">
        <v>20</v>
      </c>
      <c r="E3">
        <v>56.95</v>
      </c>
      <c r="F3">
        <v>54.2</v>
      </c>
      <c r="G3">
        <v>54.2</v>
      </c>
      <c r="H3">
        <v>53.35</v>
      </c>
      <c r="I3">
        <v>53.35</v>
      </c>
      <c r="J3">
        <v>172080</v>
      </c>
      <c r="K3">
        <v>3200</v>
      </c>
      <c r="L3" t="s">
        <v>18</v>
      </c>
      <c r="M3">
        <v>105</v>
      </c>
      <c r="N3">
        <v>53.35</v>
      </c>
    </row>
    <row r="4" spans="1:14" x14ac:dyDescent="0.25">
      <c r="A4" t="s">
        <v>14</v>
      </c>
      <c r="B4" t="s">
        <v>15</v>
      </c>
      <c r="C4" t="s">
        <v>23</v>
      </c>
      <c r="D4" t="s">
        <v>24</v>
      </c>
      <c r="E4">
        <v>22.75</v>
      </c>
      <c r="F4">
        <v>20.6</v>
      </c>
      <c r="G4">
        <v>20.6</v>
      </c>
      <c r="H4">
        <v>20.6</v>
      </c>
      <c r="I4">
        <v>20.6</v>
      </c>
      <c r="J4">
        <v>82400</v>
      </c>
      <c r="K4">
        <v>4000</v>
      </c>
      <c r="L4" t="s">
        <v>18</v>
      </c>
      <c r="M4">
        <v>25.5</v>
      </c>
      <c r="N4">
        <v>14.5</v>
      </c>
    </row>
    <row r="5" spans="1:14" x14ac:dyDescent="0.25">
      <c r="A5" t="s">
        <v>14</v>
      </c>
      <c r="B5" t="s">
        <v>15</v>
      </c>
      <c r="C5" t="s">
        <v>27</v>
      </c>
      <c r="D5" t="s">
        <v>28</v>
      </c>
      <c r="E5">
        <v>178.85</v>
      </c>
      <c r="F5">
        <v>175</v>
      </c>
      <c r="G5">
        <v>183.5</v>
      </c>
      <c r="H5">
        <v>175</v>
      </c>
      <c r="I5">
        <v>180.2</v>
      </c>
      <c r="J5">
        <v>4781975</v>
      </c>
      <c r="K5">
        <v>26500</v>
      </c>
      <c r="L5" t="s">
        <v>18</v>
      </c>
      <c r="M5">
        <v>259</v>
      </c>
      <c r="N5">
        <v>92.1</v>
      </c>
    </row>
    <row r="6" spans="1:14" x14ac:dyDescent="0.25">
      <c r="A6" t="s">
        <v>14</v>
      </c>
      <c r="B6" t="s">
        <v>15</v>
      </c>
      <c r="C6" t="s">
        <v>29</v>
      </c>
      <c r="D6" t="s">
        <v>30</v>
      </c>
      <c r="E6">
        <v>321.7</v>
      </c>
      <c r="F6">
        <v>317</v>
      </c>
      <c r="G6">
        <v>325.8</v>
      </c>
      <c r="H6">
        <v>314</v>
      </c>
      <c r="I6">
        <v>322.35000000000002</v>
      </c>
      <c r="J6">
        <v>3665100</v>
      </c>
      <c r="K6">
        <v>11500</v>
      </c>
      <c r="L6" t="s">
        <v>18</v>
      </c>
      <c r="M6">
        <v>378</v>
      </c>
      <c r="N6">
        <v>180</v>
      </c>
    </row>
    <row r="7" spans="1:14" x14ac:dyDescent="0.25">
      <c r="A7" t="s">
        <v>14</v>
      </c>
      <c r="B7" t="s">
        <v>15</v>
      </c>
      <c r="C7" t="s">
        <v>31</v>
      </c>
      <c r="D7" t="s">
        <v>32</v>
      </c>
      <c r="E7">
        <v>28.95</v>
      </c>
      <c r="F7">
        <v>28</v>
      </c>
      <c r="G7">
        <v>28</v>
      </c>
      <c r="H7">
        <v>28</v>
      </c>
      <c r="I7">
        <v>28</v>
      </c>
      <c r="J7">
        <v>112000</v>
      </c>
      <c r="K7">
        <v>4000</v>
      </c>
      <c r="L7" t="s">
        <v>18</v>
      </c>
      <c r="M7">
        <v>31.65</v>
      </c>
      <c r="N7">
        <v>17.5</v>
      </c>
    </row>
    <row r="8" spans="1:14" x14ac:dyDescent="0.25">
      <c r="A8" t="s">
        <v>14</v>
      </c>
      <c r="B8" t="s">
        <v>33</v>
      </c>
      <c r="C8" t="s">
        <v>34</v>
      </c>
      <c r="D8" t="s">
        <v>35</v>
      </c>
      <c r="E8">
        <v>67.400000000000006</v>
      </c>
      <c r="F8">
        <v>67.45</v>
      </c>
      <c r="G8">
        <v>67.45</v>
      </c>
      <c r="H8">
        <v>67.400000000000006</v>
      </c>
      <c r="I8">
        <v>67.400000000000006</v>
      </c>
      <c r="J8">
        <v>242760</v>
      </c>
      <c r="K8">
        <v>3600</v>
      </c>
      <c r="L8" t="s">
        <v>18</v>
      </c>
      <c r="M8">
        <v>102.5</v>
      </c>
      <c r="N8">
        <v>53.8</v>
      </c>
    </row>
    <row r="9" spans="1:14" x14ac:dyDescent="0.25">
      <c r="A9" t="s">
        <v>14</v>
      </c>
      <c r="B9" t="s">
        <v>15</v>
      </c>
      <c r="C9" t="s">
        <v>38</v>
      </c>
      <c r="D9" t="s">
        <v>39</v>
      </c>
      <c r="E9">
        <v>102.15</v>
      </c>
      <c r="F9">
        <v>98.5</v>
      </c>
      <c r="G9">
        <v>104.5</v>
      </c>
      <c r="H9">
        <v>98</v>
      </c>
      <c r="I9">
        <v>100.75</v>
      </c>
      <c r="J9">
        <v>1010925</v>
      </c>
      <c r="K9">
        <v>10000</v>
      </c>
      <c r="L9" t="s">
        <v>18</v>
      </c>
      <c r="M9">
        <v>321</v>
      </c>
      <c r="N9">
        <v>98</v>
      </c>
    </row>
    <row r="10" spans="1:14" x14ac:dyDescent="0.25">
      <c r="A10" t="s">
        <v>14</v>
      </c>
      <c r="B10" t="s">
        <v>15</v>
      </c>
      <c r="C10" t="s">
        <v>40</v>
      </c>
      <c r="D10" t="s">
        <v>41</v>
      </c>
      <c r="E10">
        <v>23.8</v>
      </c>
      <c r="F10">
        <v>23.8</v>
      </c>
      <c r="G10">
        <v>23.8</v>
      </c>
      <c r="H10">
        <v>23.8</v>
      </c>
      <c r="I10">
        <v>23.8</v>
      </c>
      <c r="J10">
        <v>47600</v>
      </c>
      <c r="K10">
        <v>2000</v>
      </c>
      <c r="L10" t="s">
        <v>18</v>
      </c>
      <c r="M10">
        <v>48.3</v>
      </c>
      <c r="N10">
        <v>21.35</v>
      </c>
    </row>
    <row r="11" spans="1:14" x14ac:dyDescent="0.25">
      <c r="A11" t="s">
        <v>14</v>
      </c>
      <c r="B11" t="s">
        <v>15</v>
      </c>
      <c r="C11" t="s">
        <v>42</v>
      </c>
      <c r="D11" t="s">
        <v>43</v>
      </c>
      <c r="E11">
        <v>95</v>
      </c>
      <c r="F11">
        <v>95.25</v>
      </c>
      <c r="G11">
        <v>96</v>
      </c>
      <c r="H11">
        <v>92.3</v>
      </c>
      <c r="I11">
        <v>96</v>
      </c>
      <c r="J11">
        <v>747050</v>
      </c>
      <c r="K11">
        <v>8000</v>
      </c>
      <c r="L11" t="s">
        <v>18</v>
      </c>
      <c r="M11">
        <v>167.6</v>
      </c>
      <c r="N11">
        <v>89.05</v>
      </c>
    </row>
    <row r="12" spans="1:14" x14ac:dyDescent="0.25">
      <c r="A12" t="s">
        <v>14</v>
      </c>
      <c r="B12" t="s">
        <v>15</v>
      </c>
      <c r="C12" t="s">
        <v>44</v>
      </c>
      <c r="D12" t="s">
        <v>45</v>
      </c>
      <c r="E12">
        <v>82.2</v>
      </c>
      <c r="F12">
        <v>83.5</v>
      </c>
      <c r="G12">
        <v>90.4</v>
      </c>
      <c r="H12">
        <v>83.5</v>
      </c>
      <c r="I12">
        <v>90.4</v>
      </c>
      <c r="J12">
        <v>1372900</v>
      </c>
      <c r="K12">
        <v>16000</v>
      </c>
      <c r="L12" t="s">
        <v>18</v>
      </c>
      <c r="M12">
        <v>155.6</v>
      </c>
      <c r="N12">
        <v>60</v>
      </c>
    </row>
    <row r="13" spans="1:14" x14ac:dyDescent="0.25">
      <c r="A13" t="s">
        <v>14</v>
      </c>
      <c r="B13" t="s">
        <v>15</v>
      </c>
      <c r="C13" t="s">
        <v>46</v>
      </c>
      <c r="D13" t="s">
        <v>47</v>
      </c>
      <c r="E13">
        <v>99.15</v>
      </c>
      <c r="F13">
        <v>95.55</v>
      </c>
      <c r="G13">
        <v>99.95</v>
      </c>
      <c r="H13">
        <v>95.05</v>
      </c>
      <c r="I13">
        <v>95.5</v>
      </c>
      <c r="J13">
        <v>3369900</v>
      </c>
      <c r="K13">
        <v>34800</v>
      </c>
      <c r="L13" t="s">
        <v>18</v>
      </c>
      <c r="M13">
        <v>174.05</v>
      </c>
      <c r="N13">
        <v>81</v>
      </c>
    </row>
    <row r="14" spans="1:14" x14ac:dyDescent="0.25">
      <c r="A14" t="s">
        <v>14</v>
      </c>
      <c r="B14" t="s">
        <v>15</v>
      </c>
      <c r="C14" t="s">
        <v>48</v>
      </c>
      <c r="D14" t="s">
        <v>49</v>
      </c>
      <c r="E14">
        <v>20</v>
      </c>
      <c r="F14">
        <v>18.850000000000001</v>
      </c>
      <c r="G14">
        <v>19.45</v>
      </c>
      <c r="H14">
        <v>18.850000000000001</v>
      </c>
      <c r="I14">
        <v>19.45</v>
      </c>
      <c r="J14">
        <v>239875</v>
      </c>
      <c r="K14">
        <v>12500</v>
      </c>
      <c r="L14" t="s">
        <v>18</v>
      </c>
      <c r="M14">
        <v>43.35</v>
      </c>
      <c r="N14">
        <v>17.899999999999999</v>
      </c>
    </row>
    <row r="15" spans="1:14" x14ac:dyDescent="0.25">
      <c r="A15" t="s">
        <v>14</v>
      </c>
      <c r="B15" t="s">
        <v>33</v>
      </c>
      <c r="C15" t="s">
        <v>50</v>
      </c>
      <c r="D15" t="s">
        <v>51</v>
      </c>
      <c r="E15">
        <v>720.45</v>
      </c>
      <c r="F15">
        <v>720</v>
      </c>
      <c r="G15">
        <v>756.45</v>
      </c>
      <c r="H15">
        <v>720</v>
      </c>
      <c r="I15">
        <v>756.45</v>
      </c>
      <c r="J15">
        <v>18669770</v>
      </c>
      <c r="K15">
        <v>25200</v>
      </c>
      <c r="L15" t="s">
        <v>18</v>
      </c>
      <c r="M15">
        <v>1040</v>
      </c>
      <c r="N15">
        <v>358</v>
      </c>
    </row>
    <row r="16" spans="1:14" x14ac:dyDescent="0.25">
      <c r="A16" t="s">
        <v>14</v>
      </c>
      <c r="B16" t="s">
        <v>15</v>
      </c>
      <c r="C16" t="s">
        <v>52</v>
      </c>
      <c r="D16" t="s">
        <v>53</v>
      </c>
      <c r="E16">
        <v>78</v>
      </c>
      <c r="F16">
        <v>72</v>
      </c>
      <c r="G16">
        <v>73.95</v>
      </c>
      <c r="H16">
        <v>70</v>
      </c>
      <c r="I16">
        <v>72.400000000000006</v>
      </c>
      <c r="J16">
        <v>1365750</v>
      </c>
      <c r="K16">
        <v>19000</v>
      </c>
      <c r="L16" t="s">
        <v>18</v>
      </c>
      <c r="M16">
        <v>133.75</v>
      </c>
      <c r="N16">
        <v>63</v>
      </c>
    </row>
    <row r="17" spans="1:14" x14ac:dyDescent="0.25">
      <c r="A17" t="s">
        <v>14</v>
      </c>
      <c r="B17" t="s">
        <v>33</v>
      </c>
      <c r="C17" t="s">
        <v>54</v>
      </c>
      <c r="D17" t="s">
        <v>55</v>
      </c>
      <c r="E17">
        <v>204</v>
      </c>
      <c r="F17">
        <v>205</v>
      </c>
      <c r="G17">
        <v>209.95</v>
      </c>
      <c r="H17">
        <v>205</v>
      </c>
      <c r="I17">
        <v>208.5</v>
      </c>
      <c r="J17">
        <v>2003080</v>
      </c>
      <c r="K17">
        <v>9600</v>
      </c>
      <c r="L17" t="s">
        <v>18</v>
      </c>
      <c r="M17">
        <v>299.3</v>
      </c>
      <c r="N17">
        <v>62</v>
      </c>
    </row>
    <row r="18" spans="1:14" x14ac:dyDescent="0.25">
      <c r="A18" t="s">
        <v>14</v>
      </c>
      <c r="B18" t="s">
        <v>15</v>
      </c>
      <c r="C18" t="s">
        <v>58</v>
      </c>
      <c r="D18" t="s">
        <v>59</v>
      </c>
      <c r="E18">
        <v>190.3</v>
      </c>
      <c r="F18">
        <v>194</v>
      </c>
      <c r="G18">
        <v>195</v>
      </c>
      <c r="H18">
        <v>190.55</v>
      </c>
      <c r="I18">
        <v>193.45</v>
      </c>
      <c r="J18">
        <v>2008460</v>
      </c>
      <c r="K18">
        <v>10400</v>
      </c>
      <c r="L18" t="s">
        <v>18</v>
      </c>
      <c r="M18">
        <v>504.75</v>
      </c>
      <c r="N18">
        <v>188</v>
      </c>
    </row>
    <row r="19" spans="1:14" x14ac:dyDescent="0.25">
      <c r="A19" t="s">
        <v>14</v>
      </c>
      <c r="B19" t="s">
        <v>15</v>
      </c>
      <c r="C19" t="s">
        <v>60</v>
      </c>
      <c r="D19" t="s">
        <v>61</v>
      </c>
      <c r="E19">
        <v>765.7</v>
      </c>
      <c r="F19">
        <v>769.45</v>
      </c>
      <c r="G19">
        <v>769.45</v>
      </c>
      <c r="H19">
        <v>742</v>
      </c>
      <c r="I19">
        <v>753.35</v>
      </c>
      <c r="J19">
        <v>35892950</v>
      </c>
      <c r="K19">
        <v>47600</v>
      </c>
      <c r="L19" t="s">
        <v>18</v>
      </c>
      <c r="M19">
        <v>1449.7</v>
      </c>
      <c r="N19">
        <v>495</v>
      </c>
    </row>
    <row r="20" spans="1:14" x14ac:dyDescent="0.25">
      <c r="A20" t="s">
        <v>14</v>
      </c>
      <c r="B20" t="s">
        <v>15</v>
      </c>
      <c r="C20" t="s">
        <v>943</v>
      </c>
      <c r="D20" t="s">
        <v>944</v>
      </c>
      <c r="E20">
        <v>61</v>
      </c>
      <c r="F20">
        <v>58</v>
      </c>
      <c r="G20">
        <v>66</v>
      </c>
      <c r="H20">
        <v>58</v>
      </c>
      <c r="I20">
        <v>64.75</v>
      </c>
      <c r="J20">
        <v>2320425</v>
      </c>
      <c r="K20">
        <v>39000</v>
      </c>
      <c r="L20" t="s">
        <v>18</v>
      </c>
      <c r="M20">
        <v>95.8</v>
      </c>
      <c r="N20">
        <v>48</v>
      </c>
    </row>
    <row r="21" spans="1:14" x14ac:dyDescent="0.25">
      <c r="A21" t="s">
        <v>14</v>
      </c>
      <c r="B21" t="s">
        <v>15</v>
      </c>
      <c r="C21" t="s">
        <v>62</v>
      </c>
      <c r="D21" t="s">
        <v>63</v>
      </c>
      <c r="E21">
        <v>32</v>
      </c>
      <c r="F21">
        <v>32.1</v>
      </c>
      <c r="G21">
        <v>32.1</v>
      </c>
      <c r="H21">
        <v>31.25</v>
      </c>
      <c r="I21">
        <v>31.35</v>
      </c>
      <c r="J21">
        <v>381100</v>
      </c>
      <c r="K21">
        <v>12000</v>
      </c>
      <c r="L21" t="s">
        <v>18</v>
      </c>
      <c r="M21">
        <v>60</v>
      </c>
      <c r="N21">
        <v>28.85</v>
      </c>
    </row>
    <row r="22" spans="1:14" x14ac:dyDescent="0.25">
      <c r="A22" t="s">
        <v>14</v>
      </c>
      <c r="B22" t="s">
        <v>15</v>
      </c>
      <c r="C22" t="s">
        <v>64</v>
      </c>
      <c r="D22" t="s">
        <v>65</v>
      </c>
      <c r="E22">
        <v>95.6</v>
      </c>
      <c r="F22">
        <v>93.7</v>
      </c>
      <c r="G22">
        <v>97</v>
      </c>
      <c r="H22">
        <v>93.7</v>
      </c>
      <c r="I22">
        <v>97</v>
      </c>
      <c r="J22">
        <v>190700</v>
      </c>
      <c r="K22">
        <v>2000</v>
      </c>
      <c r="L22" t="s">
        <v>18</v>
      </c>
      <c r="M22">
        <v>127.25</v>
      </c>
      <c r="N22">
        <v>86.4</v>
      </c>
    </row>
    <row r="23" spans="1:14" x14ac:dyDescent="0.25">
      <c r="A23" t="s">
        <v>14</v>
      </c>
      <c r="B23" t="s">
        <v>33</v>
      </c>
      <c r="C23" t="s">
        <v>66</v>
      </c>
      <c r="D23" t="s">
        <v>67</v>
      </c>
      <c r="E23">
        <v>309.55</v>
      </c>
      <c r="F23">
        <v>303</v>
      </c>
      <c r="G23">
        <v>303</v>
      </c>
      <c r="H23">
        <v>300</v>
      </c>
      <c r="I23">
        <v>300.35000000000002</v>
      </c>
      <c r="J23">
        <v>1448000</v>
      </c>
      <c r="K23">
        <v>4800</v>
      </c>
      <c r="L23" t="s">
        <v>18</v>
      </c>
      <c r="M23">
        <v>385</v>
      </c>
      <c r="N23">
        <v>161.69999999999999</v>
      </c>
    </row>
    <row r="24" spans="1:14" x14ac:dyDescent="0.25">
      <c r="A24" t="s">
        <v>14</v>
      </c>
      <c r="B24" t="s">
        <v>15</v>
      </c>
      <c r="C24" t="s">
        <v>68</v>
      </c>
      <c r="D24" t="s">
        <v>69</v>
      </c>
      <c r="E24">
        <v>79</v>
      </c>
      <c r="F24">
        <v>75.099999999999994</v>
      </c>
      <c r="G24">
        <v>75.099999999999994</v>
      </c>
      <c r="H24">
        <v>75.099999999999994</v>
      </c>
      <c r="I24">
        <v>75.099999999999994</v>
      </c>
      <c r="J24">
        <v>90120</v>
      </c>
      <c r="K24">
        <v>1200</v>
      </c>
      <c r="L24" t="s">
        <v>18</v>
      </c>
      <c r="M24">
        <v>164.85</v>
      </c>
      <c r="N24">
        <v>75.099999999999994</v>
      </c>
    </row>
    <row r="25" spans="1:14" x14ac:dyDescent="0.25">
      <c r="A25" t="s">
        <v>14</v>
      </c>
      <c r="B25" t="s">
        <v>15</v>
      </c>
      <c r="C25" t="s">
        <v>70</v>
      </c>
      <c r="D25" t="s">
        <v>71</v>
      </c>
      <c r="E25">
        <v>374</v>
      </c>
      <c r="F25">
        <v>372</v>
      </c>
      <c r="G25">
        <v>373</v>
      </c>
      <c r="H25">
        <v>368.05</v>
      </c>
      <c r="I25">
        <v>371.5</v>
      </c>
      <c r="J25">
        <v>1186620</v>
      </c>
      <c r="K25">
        <v>3200</v>
      </c>
      <c r="L25" t="s">
        <v>18</v>
      </c>
      <c r="M25">
        <v>497</v>
      </c>
      <c r="N25">
        <v>239</v>
      </c>
    </row>
    <row r="26" spans="1:14" x14ac:dyDescent="0.25">
      <c r="A26" t="s">
        <v>14</v>
      </c>
      <c r="B26" t="s">
        <v>15</v>
      </c>
      <c r="C26" t="s">
        <v>72</v>
      </c>
      <c r="D26" t="s">
        <v>73</v>
      </c>
      <c r="E26">
        <v>198.5</v>
      </c>
      <c r="F26">
        <v>196</v>
      </c>
      <c r="G26">
        <v>198</v>
      </c>
      <c r="H26">
        <v>196</v>
      </c>
      <c r="I26">
        <v>197.15</v>
      </c>
      <c r="J26">
        <v>61652600</v>
      </c>
      <c r="K26">
        <v>312750</v>
      </c>
      <c r="L26" t="s">
        <v>18</v>
      </c>
      <c r="M26">
        <v>371</v>
      </c>
      <c r="N26">
        <v>180</v>
      </c>
    </row>
    <row r="27" spans="1:14" x14ac:dyDescent="0.25">
      <c r="A27" t="s">
        <v>14</v>
      </c>
      <c r="B27" t="s">
        <v>15</v>
      </c>
      <c r="C27" t="s">
        <v>74</v>
      </c>
      <c r="D27" t="s">
        <v>75</v>
      </c>
      <c r="E27">
        <v>21</v>
      </c>
      <c r="F27">
        <v>20</v>
      </c>
      <c r="G27">
        <v>21.45</v>
      </c>
      <c r="H27">
        <v>20</v>
      </c>
      <c r="I27">
        <v>20.95</v>
      </c>
      <c r="J27">
        <v>3414750</v>
      </c>
      <c r="K27">
        <v>165000</v>
      </c>
      <c r="L27" t="s">
        <v>18</v>
      </c>
      <c r="M27">
        <v>29.05</v>
      </c>
      <c r="N27">
        <v>19.45</v>
      </c>
    </row>
    <row r="28" spans="1:14" x14ac:dyDescent="0.25">
      <c r="A28" t="s">
        <v>14</v>
      </c>
      <c r="B28" t="s">
        <v>15</v>
      </c>
      <c r="C28" t="s">
        <v>76</v>
      </c>
      <c r="D28" t="s">
        <v>77</v>
      </c>
      <c r="E28">
        <v>120</v>
      </c>
      <c r="F28">
        <v>119</v>
      </c>
      <c r="G28">
        <v>130</v>
      </c>
      <c r="H28">
        <v>119</v>
      </c>
      <c r="I28">
        <v>130</v>
      </c>
      <c r="J28">
        <v>1860760</v>
      </c>
      <c r="K28">
        <v>15200</v>
      </c>
      <c r="L28" t="s">
        <v>18</v>
      </c>
      <c r="M28">
        <v>165.6</v>
      </c>
      <c r="N28">
        <v>73</v>
      </c>
    </row>
    <row r="29" spans="1:14" x14ac:dyDescent="0.25">
      <c r="A29" t="s">
        <v>14</v>
      </c>
      <c r="B29" t="s">
        <v>15</v>
      </c>
      <c r="C29" t="s">
        <v>78</v>
      </c>
      <c r="D29" t="s">
        <v>79</v>
      </c>
      <c r="E29">
        <v>260.75</v>
      </c>
      <c r="F29">
        <v>260.75</v>
      </c>
      <c r="G29">
        <v>267</v>
      </c>
      <c r="H29">
        <v>250</v>
      </c>
      <c r="I29">
        <v>267</v>
      </c>
      <c r="J29">
        <v>1400000</v>
      </c>
      <c r="K29">
        <v>5500</v>
      </c>
      <c r="L29" t="s">
        <v>18</v>
      </c>
      <c r="M29">
        <v>360</v>
      </c>
      <c r="N29">
        <v>86.5</v>
      </c>
    </row>
    <row r="30" spans="1:14" x14ac:dyDescent="0.25">
      <c r="A30" t="s">
        <v>14</v>
      </c>
      <c r="B30" t="s">
        <v>15</v>
      </c>
      <c r="C30" t="s">
        <v>80</v>
      </c>
      <c r="D30" t="s">
        <v>81</v>
      </c>
      <c r="E30">
        <v>56</v>
      </c>
      <c r="F30">
        <v>57.9</v>
      </c>
      <c r="G30">
        <v>58</v>
      </c>
      <c r="H30">
        <v>55.5</v>
      </c>
      <c r="I30">
        <v>56</v>
      </c>
      <c r="J30">
        <v>450500</v>
      </c>
      <c r="K30">
        <v>8000</v>
      </c>
      <c r="L30" t="s">
        <v>18</v>
      </c>
      <c r="M30">
        <v>145</v>
      </c>
      <c r="N30">
        <v>55.5</v>
      </c>
    </row>
    <row r="31" spans="1:14" x14ac:dyDescent="0.25">
      <c r="A31" t="s">
        <v>14</v>
      </c>
      <c r="B31" t="s">
        <v>33</v>
      </c>
      <c r="C31" t="s">
        <v>82</v>
      </c>
      <c r="D31" t="s">
        <v>83</v>
      </c>
      <c r="E31">
        <v>141</v>
      </c>
      <c r="F31">
        <v>141</v>
      </c>
      <c r="G31">
        <v>141.94999999999999</v>
      </c>
      <c r="H31">
        <v>136.65</v>
      </c>
      <c r="I31">
        <v>136.80000000000001</v>
      </c>
      <c r="J31">
        <v>1813500</v>
      </c>
      <c r="K31">
        <v>13000</v>
      </c>
      <c r="L31" t="s">
        <v>18</v>
      </c>
      <c r="M31">
        <v>161</v>
      </c>
      <c r="N31">
        <v>70.8</v>
      </c>
    </row>
    <row r="32" spans="1:14" x14ac:dyDescent="0.25">
      <c r="A32" t="s">
        <v>14</v>
      </c>
      <c r="B32" t="s">
        <v>15</v>
      </c>
      <c r="C32" t="s">
        <v>84</v>
      </c>
      <c r="D32" t="s">
        <v>85</v>
      </c>
      <c r="E32">
        <v>435</v>
      </c>
      <c r="F32">
        <v>448.95</v>
      </c>
      <c r="G32">
        <v>455</v>
      </c>
      <c r="H32">
        <v>448.95</v>
      </c>
      <c r="I32">
        <v>455</v>
      </c>
      <c r="J32">
        <v>361580</v>
      </c>
      <c r="K32">
        <v>800</v>
      </c>
      <c r="L32" t="s">
        <v>18</v>
      </c>
      <c r="M32">
        <v>540</v>
      </c>
      <c r="N32">
        <v>200</v>
      </c>
    </row>
    <row r="33" spans="1:14" x14ac:dyDescent="0.25">
      <c r="A33" t="s">
        <v>14</v>
      </c>
      <c r="B33" t="s">
        <v>15</v>
      </c>
      <c r="C33" t="s">
        <v>945</v>
      </c>
      <c r="D33" t="s">
        <v>946</v>
      </c>
      <c r="E33">
        <v>104</v>
      </c>
      <c r="F33">
        <v>98.8</v>
      </c>
      <c r="G33">
        <v>101</v>
      </c>
      <c r="H33">
        <v>98.8</v>
      </c>
      <c r="I33">
        <v>98.8</v>
      </c>
      <c r="J33">
        <v>238880</v>
      </c>
      <c r="K33">
        <v>2400</v>
      </c>
      <c r="L33" t="s">
        <v>18</v>
      </c>
      <c r="M33">
        <v>148</v>
      </c>
      <c r="N33">
        <v>84.55</v>
      </c>
    </row>
    <row r="34" spans="1:14" x14ac:dyDescent="0.25">
      <c r="A34" t="s">
        <v>14</v>
      </c>
      <c r="B34" t="s">
        <v>33</v>
      </c>
      <c r="C34" t="s">
        <v>86</v>
      </c>
      <c r="D34" t="s">
        <v>87</v>
      </c>
      <c r="E34">
        <v>35.35</v>
      </c>
      <c r="F34">
        <v>33.6</v>
      </c>
      <c r="G34">
        <v>33.6</v>
      </c>
      <c r="H34">
        <v>33.6</v>
      </c>
      <c r="I34">
        <v>33.6</v>
      </c>
      <c r="J34">
        <v>3158400</v>
      </c>
      <c r="K34">
        <v>94000</v>
      </c>
      <c r="L34" t="s">
        <v>18</v>
      </c>
      <c r="M34">
        <v>45.6</v>
      </c>
      <c r="N34">
        <v>33.6</v>
      </c>
    </row>
    <row r="35" spans="1:14" x14ac:dyDescent="0.25">
      <c r="A35" t="s">
        <v>14</v>
      </c>
      <c r="B35" t="s">
        <v>15</v>
      </c>
      <c r="C35" t="s">
        <v>88</v>
      </c>
      <c r="D35" t="s">
        <v>89</v>
      </c>
      <c r="E35">
        <v>17.350000000000001</v>
      </c>
      <c r="F35">
        <v>17.3</v>
      </c>
      <c r="G35">
        <v>17.3</v>
      </c>
      <c r="H35">
        <v>17.100000000000001</v>
      </c>
      <c r="I35">
        <v>17.100000000000001</v>
      </c>
      <c r="J35">
        <v>137600</v>
      </c>
      <c r="K35">
        <v>8000</v>
      </c>
      <c r="L35" t="s">
        <v>18</v>
      </c>
      <c r="M35">
        <v>46.5</v>
      </c>
      <c r="N35">
        <v>16.95</v>
      </c>
    </row>
    <row r="36" spans="1:14" x14ac:dyDescent="0.25">
      <c r="A36" t="s">
        <v>14</v>
      </c>
      <c r="B36" t="s">
        <v>15</v>
      </c>
      <c r="C36" t="s">
        <v>90</v>
      </c>
      <c r="D36" t="s">
        <v>91</v>
      </c>
      <c r="E36">
        <v>29.05</v>
      </c>
      <c r="F36">
        <v>29.95</v>
      </c>
      <c r="G36">
        <v>30.25</v>
      </c>
      <c r="H36">
        <v>29.2</v>
      </c>
      <c r="I36">
        <v>29.2</v>
      </c>
      <c r="J36">
        <v>491625</v>
      </c>
      <c r="K36">
        <v>16500</v>
      </c>
      <c r="L36" t="s">
        <v>18</v>
      </c>
      <c r="M36">
        <v>87.4</v>
      </c>
      <c r="N36">
        <v>28.95</v>
      </c>
    </row>
    <row r="37" spans="1:14" x14ac:dyDescent="0.25">
      <c r="A37" t="s">
        <v>14</v>
      </c>
      <c r="B37" t="s">
        <v>33</v>
      </c>
      <c r="C37" t="s">
        <v>92</v>
      </c>
      <c r="D37" t="s">
        <v>93</v>
      </c>
      <c r="E37">
        <v>150</v>
      </c>
      <c r="F37">
        <v>150</v>
      </c>
      <c r="G37">
        <v>150</v>
      </c>
      <c r="H37">
        <v>150</v>
      </c>
      <c r="I37">
        <v>150</v>
      </c>
      <c r="J37">
        <v>75000</v>
      </c>
      <c r="K37">
        <v>500</v>
      </c>
      <c r="L37" t="s">
        <v>18</v>
      </c>
      <c r="M37">
        <v>154</v>
      </c>
      <c r="N37">
        <v>76.55</v>
      </c>
    </row>
    <row r="38" spans="1:14" x14ac:dyDescent="0.25">
      <c r="A38" t="s">
        <v>14</v>
      </c>
      <c r="B38" t="s">
        <v>15</v>
      </c>
      <c r="C38" t="s">
        <v>94</v>
      </c>
      <c r="D38" t="s">
        <v>95</v>
      </c>
      <c r="E38">
        <v>65.25</v>
      </c>
      <c r="F38">
        <v>64.650000000000006</v>
      </c>
      <c r="G38">
        <v>64.650000000000006</v>
      </c>
      <c r="H38">
        <v>64.650000000000006</v>
      </c>
      <c r="I38">
        <v>64.650000000000006</v>
      </c>
      <c r="J38">
        <v>64650</v>
      </c>
      <c r="K38">
        <v>1000</v>
      </c>
      <c r="L38" t="s">
        <v>18</v>
      </c>
      <c r="M38">
        <v>93.7</v>
      </c>
      <c r="N38">
        <v>60</v>
      </c>
    </row>
    <row r="39" spans="1:14" x14ac:dyDescent="0.25">
      <c r="A39" t="s">
        <v>14</v>
      </c>
      <c r="B39" t="s">
        <v>15</v>
      </c>
      <c r="C39" t="s">
        <v>96</v>
      </c>
      <c r="D39" t="s">
        <v>97</v>
      </c>
      <c r="E39">
        <v>132.15</v>
      </c>
      <c r="F39">
        <v>142</v>
      </c>
      <c r="G39">
        <v>158.55000000000001</v>
      </c>
      <c r="H39">
        <v>132</v>
      </c>
      <c r="I39">
        <v>133.1</v>
      </c>
      <c r="J39">
        <v>24414500</v>
      </c>
      <c r="K39">
        <v>162000</v>
      </c>
      <c r="L39" t="s">
        <v>18</v>
      </c>
      <c r="M39">
        <v>167.8</v>
      </c>
      <c r="N39">
        <v>127.9</v>
      </c>
    </row>
    <row r="40" spans="1:14" x14ac:dyDescent="0.25">
      <c r="A40" t="s">
        <v>14</v>
      </c>
      <c r="B40" t="s">
        <v>15</v>
      </c>
      <c r="C40" t="s">
        <v>98</v>
      </c>
      <c r="D40" t="s">
        <v>99</v>
      </c>
      <c r="E40">
        <v>16.5</v>
      </c>
      <c r="F40">
        <v>16.95</v>
      </c>
      <c r="G40">
        <v>16.95</v>
      </c>
      <c r="H40">
        <v>16.7</v>
      </c>
      <c r="I40">
        <v>16.7</v>
      </c>
      <c r="J40">
        <v>67300</v>
      </c>
      <c r="K40">
        <v>4000</v>
      </c>
      <c r="L40" t="s">
        <v>18</v>
      </c>
      <c r="M40">
        <v>40</v>
      </c>
      <c r="N40">
        <v>15.3</v>
      </c>
    </row>
    <row r="41" spans="1:14" x14ac:dyDescent="0.25">
      <c r="A41" t="s">
        <v>14</v>
      </c>
      <c r="B41" t="s">
        <v>15</v>
      </c>
      <c r="C41" t="s">
        <v>100</v>
      </c>
      <c r="D41" t="s">
        <v>101</v>
      </c>
      <c r="E41">
        <v>29.9</v>
      </c>
      <c r="F41">
        <v>29.8</v>
      </c>
      <c r="G41">
        <v>29.8</v>
      </c>
      <c r="H41">
        <v>29</v>
      </c>
      <c r="I41">
        <v>29.15</v>
      </c>
      <c r="J41">
        <v>809640</v>
      </c>
      <c r="K41">
        <v>27600</v>
      </c>
      <c r="L41" t="s">
        <v>18</v>
      </c>
      <c r="M41">
        <v>115.35</v>
      </c>
      <c r="N41">
        <v>29</v>
      </c>
    </row>
    <row r="42" spans="1:14" x14ac:dyDescent="0.25">
      <c r="A42" t="s">
        <v>14</v>
      </c>
      <c r="B42" t="s">
        <v>15</v>
      </c>
      <c r="C42" t="s">
        <v>102</v>
      </c>
      <c r="D42" t="s">
        <v>103</v>
      </c>
      <c r="E42">
        <v>142.6</v>
      </c>
      <c r="F42">
        <v>143.5</v>
      </c>
      <c r="G42">
        <v>145.5</v>
      </c>
      <c r="H42">
        <v>139.55000000000001</v>
      </c>
      <c r="I42">
        <v>141.85</v>
      </c>
      <c r="J42">
        <v>2219980</v>
      </c>
      <c r="K42">
        <v>15600</v>
      </c>
      <c r="L42" t="s">
        <v>18</v>
      </c>
      <c r="M42">
        <v>294</v>
      </c>
      <c r="N42">
        <v>109</v>
      </c>
    </row>
    <row r="43" spans="1:14" x14ac:dyDescent="0.25">
      <c r="A43" t="s">
        <v>14</v>
      </c>
      <c r="B43" t="s">
        <v>15</v>
      </c>
      <c r="C43" t="s">
        <v>106</v>
      </c>
      <c r="D43" t="s">
        <v>107</v>
      </c>
      <c r="E43">
        <v>309.85000000000002</v>
      </c>
      <c r="F43">
        <v>306.05</v>
      </c>
      <c r="G43">
        <v>327</v>
      </c>
      <c r="H43">
        <v>306.05</v>
      </c>
      <c r="I43">
        <v>323.95</v>
      </c>
      <c r="J43">
        <v>8330600</v>
      </c>
      <c r="K43">
        <v>26000</v>
      </c>
      <c r="L43" t="s">
        <v>18</v>
      </c>
      <c r="M43">
        <v>654</v>
      </c>
      <c r="N43">
        <v>293</v>
      </c>
    </row>
    <row r="44" spans="1:14" x14ac:dyDescent="0.25">
      <c r="A44" t="s">
        <v>14</v>
      </c>
      <c r="B44" t="s">
        <v>33</v>
      </c>
      <c r="C44" t="s">
        <v>108</v>
      </c>
      <c r="D44" t="s">
        <v>109</v>
      </c>
      <c r="E44">
        <v>71.55</v>
      </c>
      <c r="F44">
        <v>68.05</v>
      </c>
      <c r="G44">
        <v>69.849999999999994</v>
      </c>
      <c r="H44">
        <v>68</v>
      </c>
      <c r="I44">
        <v>68</v>
      </c>
      <c r="J44">
        <v>4646200</v>
      </c>
      <c r="K44">
        <v>68000</v>
      </c>
      <c r="L44" t="s">
        <v>18</v>
      </c>
      <c r="M44">
        <v>83.6</v>
      </c>
      <c r="N44">
        <v>65.099999999999994</v>
      </c>
    </row>
    <row r="45" spans="1:14" x14ac:dyDescent="0.25">
      <c r="A45" t="s">
        <v>14</v>
      </c>
      <c r="B45" t="s">
        <v>15</v>
      </c>
      <c r="C45" t="s">
        <v>110</v>
      </c>
      <c r="D45" t="s">
        <v>111</v>
      </c>
      <c r="E45">
        <v>113</v>
      </c>
      <c r="F45">
        <v>114</v>
      </c>
      <c r="G45">
        <v>114</v>
      </c>
      <c r="H45">
        <v>112.45</v>
      </c>
      <c r="I45">
        <v>113</v>
      </c>
      <c r="J45">
        <v>1130850</v>
      </c>
      <c r="K45">
        <v>10000</v>
      </c>
      <c r="L45" t="s">
        <v>18</v>
      </c>
      <c r="M45">
        <v>123.5</v>
      </c>
      <c r="N45">
        <v>93.8</v>
      </c>
    </row>
    <row r="46" spans="1:14" x14ac:dyDescent="0.25">
      <c r="A46" t="s">
        <v>14</v>
      </c>
      <c r="B46" t="s">
        <v>15</v>
      </c>
      <c r="C46" t="s">
        <v>112</v>
      </c>
      <c r="D46" t="s">
        <v>113</v>
      </c>
      <c r="E46">
        <v>91.2</v>
      </c>
      <c r="F46">
        <v>90.85</v>
      </c>
      <c r="G46">
        <v>91.75</v>
      </c>
      <c r="H46">
        <v>88.5</v>
      </c>
      <c r="I46">
        <v>90.45</v>
      </c>
      <c r="J46">
        <v>2934800</v>
      </c>
      <c r="K46">
        <v>32800</v>
      </c>
      <c r="L46" t="s">
        <v>18</v>
      </c>
      <c r="M46">
        <v>223.45</v>
      </c>
      <c r="N46">
        <v>88.2</v>
      </c>
    </row>
    <row r="47" spans="1:14" x14ac:dyDescent="0.25">
      <c r="A47" t="s">
        <v>14</v>
      </c>
      <c r="B47" t="s">
        <v>15</v>
      </c>
      <c r="C47" t="s">
        <v>114</v>
      </c>
      <c r="D47" t="s">
        <v>115</v>
      </c>
      <c r="E47">
        <v>114.95</v>
      </c>
      <c r="F47">
        <v>115</v>
      </c>
      <c r="G47">
        <v>117.95</v>
      </c>
      <c r="H47">
        <v>115</v>
      </c>
      <c r="I47">
        <v>117</v>
      </c>
      <c r="J47">
        <v>744720</v>
      </c>
      <c r="K47">
        <v>6400</v>
      </c>
      <c r="L47" t="s">
        <v>18</v>
      </c>
      <c r="M47">
        <v>139</v>
      </c>
      <c r="N47">
        <v>95.75</v>
      </c>
    </row>
    <row r="48" spans="1:14" x14ac:dyDescent="0.25">
      <c r="A48" t="s">
        <v>14</v>
      </c>
      <c r="B48" t="s">
        <v>15</v>
      </c>
      <c r="C48" t="s">
        <v>116</v>
      </c>
      <c r="D48" t="s">
        <v>117</v>
      </c>
      <c r="E48">
        <v>28.55</v>
      </c>
      <c r="F48">
        <v>26</v>
      </c>
      <c r="G48">
        <v>26.9</v>
      </c>
      <c r="H48">
        <v>26</v>
      </c>
      <c r="I48">
        <v>26.9</v>
      </c>
      <c r="J48">
        <v>168720</v>
      </c>
      <c r="K48">
        <v>6400</v>
      </c>
      <c r="L48" t="s">
        <v>18</v>
      </c>
      <c r="M48">
        <v>56.5</v>
      </c>
      <c r="N48">
        <v>25.6</v>
      </c>
    </row>
    <row r="49" spans="1:14" x14ac:dyDescent="0.25">
      <c r="A49" t="s">
        <v>14</v>
      </c>
      <c r="B49" t="s">
        <v>15</v>
      </c>
      <c r="C49" t="s">
        <v>118</v>
      </c>
      <c r="D49" t="s">
        <v>119</v>
      </c>
      <c r="E49">
        <v>619.4</v>
      </c>
      <c r="F49">
        <v>629</v>
      </c>
      <c r="G49">
        <v>629</v>
      </c>
      <c r="H49">
        <v>604</v>
      </c>
      <c r="I49">
        <v>616.75</v>
      </c>
      <c r="J49">
        <v>11125762.5</v>
      </c>
      <c r="K49">
        <v>18000</v>
      </c>
      <c r="L49" t="s">
        <v>18</v>
      </c>
      <c r="M49">
        <v>649.9</v>
      </c>
      <c r="N49">
        <v>328.1</v>
      </c>
    </row>
    <row r="50" spans="1:14" x14ac:dyDescent="0.25">
      <c r="A50" t="s">
        <v>14</v>
      </c>
      <c r="B50" t="s">
        <v>15</v>
      </c>
      <c r="C50" t="s">
        <v>120</v>
      </c>
      <c r="D50" t="s">
        <v>121</v>
      </c>
      <c r="E50">
        <v>140.80000000000001</v>
      </c>
      <c r="F50">
        <v>140.80000000000001</v>
      </c>
      <c r="G50">
        <v>140.80000000000001</v>
      </c>
      <c r="H50">
        <v>140</v>
      </c>
      <c r="I50">
        <v>140</v>
      </c>
      <c r="J50">
        <v>421300</v>
      </c>
      <c r="K50">
        <v>3000</v>
      </c>
      <c r="L50" t="s">
        <v>18</v>
      </c>
      <c r="M50">
        <v>184.7</v>
      </c>
      <c r="N50">
        <v>72.599999999999994</v>
      </c>
    </row>
    <row r="51" spans="1:14" x14ac:dyDescent="0.25">
      <c r="A51" t="s">
        <v>14</v>
      </c>
      <c r="B51" t="s">
        <v>15</v>
      </c>
      <c r="C51" t="s">
        <v>122</v>
      </c>
      <c r="D51" t="s">
        <v>123</v>
      </c>
      <c r="E51">
        <v>64.45</v>
      </c>
      <c r="F51">
        <v>64.45</v>
      </c>
      <c r="G51">
        <v>64.45</v>
      </c>
      <c r="H51">
        <v>60</v>
      </c>
      <c r="I51">
        <v>60</v>
      </c>
      <c r="J51">
        <v>1512100</v>
      </c>
      <c r="K51">
        <v>24000</v>
      </c>
      <c r="L51" t="s">
        <v>18</v>
      </c>
      <c r="M51">
        <v>82.4</v>
      </c>
      <c r="N51">
        <v>41.15</v>
      </c>
    </row>
    <row r="52" spans="1:14" x14ac:dyDescent="0.25">
      <c r="A52" t="s">
        <v>14</v>
      </c>
      <c r="B52" t="s">
        <v>15</v>
      </c>
      <c r="C52" t="s">
        <v>124</v>
      </c>
      <c r="D52" t="s">
        <v>125</v>
      </c>
      <c r="E52">
        <v>263.64999999999998</v>
      </c>
      <c r="F52">
        <v>263.55</v>
      </c>
      <c r="G52">
        <v>263.64999999999998</v>
      </c>
      <c r="H52">
        <v>255</v>
      </c>
      <c r="I52">
        <v>255.7</v>
      </c>
      <c r="J52">
        <v>3095970</v>
      </c>
      <c r="K52">
        <v>12000</v>
      </c>
      <c r="L52" t="s">
        <v>18</v>
      </c>
      <c r="M52">
        <v>509.8</v>
      </c>
      <c r="N52">
        <v>223.15</v>
      </c>
    </row>
    <row r="53" spans="1:14" x14ac:dyDescent="0.25">
      <c r="A53" t="s">
        <v>14</v>
      </c>
      <c r="B53" t="s">
        <v>15</v>
      </c>
      <c r="C53" t="s">
        <v>126</v>
      </c>
      <c r="D53" t="s">
        <v>127</v>
      </c>
      <c r="E53">
        <v>29.7</v>
      </c>
      <c r="F53">
        <v>29.7</v>
      </c>
      <c r="G53">
        <v>30</v>
      </c>
      <c r="H53">
        <v>28.75</v>
      </c>
      <c r="I53">
        <v>29.75</v>
      </c>
      <c r="J53">
        <v>141560</v>
      </c>
      <c r="K53">
        <v>4800</v>
      </c>
      <c r="L53" t="s">
        <v>18</v>
      </c>
      <c r="M53">
        <v>79</v>
      </c>
      <c r="N53">
        <v>27.35</v>
      </c>
    </row>
    <row r="54" spans="1:14" x14ac:dyDescent="0.25">
      <c r="A54" t="s">
        <v>14</v>
      </c>
      <c r="B54" t="s">
        <v>33</v>
      </c>
      <c r="C54" t="s">
        <v>128</v>
      </c>
      <c r="D54" t="s">
        <v>129</v>
      </c>
      <c r="E54">
        <v>86.95</v>
      </c>
      <c r="F54">
        <v>84.1</v>
      </c>
      <c r="G54">
        <v>87.55</v>
      </c>
      <c r="H54">
        <v>83</v>
      </c>
      <c r="I54">
        <v>86.5</v>
      </c>
      <c r="J54">
        <v>2294600</v>
      </c>
      <c r="K54">
        <v>27000</v>
      </c>
      <c r="L54" t="s">
        <v>18</v>
      </c>
      <c r="M54">
        <v>102.5</v>
      </c>
      <c r="N54">
        <v>50</v>
      </c>
    </row>
    <row r="55" spans="1:14" x14ac:dyDescent="0.25">
      <c r="A55" t="s">
        <v>14</v>
      </c>
      <c r="B55" t="s">
        <v>15</v>
      </c>
      <c r="C55" t="s">
        <v>130</v>
      </c>
      <c r="D55" t="s">
        <v>131</v>
      </c>
      <c r="E55">
        <v>95.4</v>
      </c>
      <c r="F55">
        <v>95</v>
      </c>
      <c r="G55">
        <v>99.5</v>
      </c>
      <c r="H55">
        <v>95</v>
      </c>
      <c r="I55">
        <v>98.8</v>
      </c>
      <c r="J55">
        <v>436275</v>
      </c>
      <c r="K55">
        <v>4500</v>
      </c>
      <c r="L55" t="s">
        <v>18</v>
      </c>
      <c r="M55">
        <v>239.8</v>
      </c>
      <c r="N55">
        <v>92.7</v>
      </c>
    </row>
    <row r="56" spans="1:14" x14ac:dyDescent="0.25">
      <c r="A56" t="s">
        <v>14</v>
      </c>
      <c r="B56" t="s">
        <v>15</v>
      </c>
      <c r="C56" t="s">
        <v>132</v>
      </c>
      <c r="D56" t="s">
        <v>133</v>
      </c>
      <c r="E56">
        <v>65.5</v>
      </c>
      <c r="F56">
        <v>64.099999999999994</v>
      </c>
      <c r="G56">
        <v>67.5</v>
      </c>
      <c r="H56">
        <v>61.5</v>
      </c>
      <c r="I56">
        <v>64.650000000000006</v>
      </c>
      <c r="J56">
        <v>542400</v>
      </c>
      <c r="K56">
        <v>8400</v>
      </c>
      <c r="L56" t="s">
        <v>18</v>
      </c>
      <c r="M56">
        <v>128.85</v>
      </c>
      <c r="N56">
        <v>61.2</v>
      </c>
    </row>
    <row r="57" spans="1:14" x14ac:dyDescent="0.25">
      <c r="A57" t="s">
        <v>14</v>
      </c>
      <c r="B57" t="s">
        <v>33</v>
      </c>
      <c r="C57" t="s">
        <v>134</v>
      </c>
      <c r="D57" t="s">
        <v>135</v>
      </c>
      <c r="E57">
        <v>20.3</v>
      </c>
      <c r="F57">
        <v>20</v>
      </c>
      <c r="G57">
        <v>20</v>
      </c>
      <c r="H57">
        <v>20</v>
      </c>
      <c r="I57">
        <v>20</v>
      </c>
      <c r="J57">
        <v>120000</v>
      </c>
      <c r="K57">
        <v>6000</v>
      </c>
      <c r="L57" t="s">
        <v>18</v>
      </c>
      <c r="M57">
        <v>25.3</v>
      </c>
      <c r="N57">
        <v>13.65</v>
      </c>
    </row>
    <row r="58" spans="1:14" x14ac:dyDescent="0.25">
      <c r="A58" t="s">
        <v>14</v>
      </c>
      <c r="B58" t="s">
        <v>15</v>
      </c>
      <c r="C58" t="s">
        <v>136</v>
      </c>
      <c r="D58" t="s">
        <v>137</v>
      </c>
      <c r="E58">
        <v>152.05000000000001</v>
      </c>
      <c r="F58">
        <v>153.4</v>
      </c>
      <c r="G58">
        <v>153.4</v>
      </c>
      <c r="H58">
        <v>149.05000000000001</v>
      </c>
      <c r="I58">
        <v>149.55000000000001</v>
      </c>
      <c r="J58">
        <v>543660</v>
      </c>
      <c r="K58">
        <v>3600</v>
      </c>
      <c r="L58" t="s">
        <v>18</v>
      </c>
      <c r="M58">
        <v>317</v>
      </c>
      <c r="N58">
        <v>88</v>
      </c>
    </row>
    <row r="59" spans="1:14" x14ac:dyDescent="0.25">
      <c r="A59" t="s">
        <v>14</v>
      </c>
      <c r="B59" t="s">
        <v>15</v>
      </c>
      <c r="C59" t="s">
        <v>947</v>
      </c>
      <c r="D59" t="s">
        <v>948</v>
      </c>
      <c r="E59">
        <v>142.80000000000001</v>
      </c>
      <c r="F59">
        <v>142.80000000000001</v>
      </c>
      <c r="G59">
        <v>142.80000000000001</v>
      </c>
      <c r="H59">
        <v>142.80000000000001</v>
      </c>
      <c r="I59">
        <v>142.80000000000001</v>
      </c>
      <c r="J59">
        <v>285600</v>
      </c>
      <c r="K59">
        <v>2000</v>
      </c>
      <c r="L59" t="s">
        <v>18</v>
      </c>
      <c r="M59">
        <v>187.2</v>
      </c>
      <c r="N59">
        <v>125.4</v>
      </c>
    </row>
    <row r="60" spans="1:14" x14ac:dyDescent="0.25">
      <c r="A60" t="s">
        <v>14</v>
      </c>
      <c r="B60" t="s">
        <v>15</v>
      </c>
      <c r="C60" t="s">
        <v>140</v>
      </c>
      <c r="D60" t="s">
        <v>141</v>
      </c>
      <c r="E60">
        <v>82.95</v>
      </c>
      <c r="F60">
        <v>84.5</v>
      </c>
      <c r="G60">
        <v>94.4</v>
      </c>
      <c r="H60">
        <v>84.5</v>
      </c>
      <c r="I60">
        <v>89.8</v>
      </c>
      <c r="J60">
        <v>1854320</v>
      </c>
      <c r="K60">
        <v>20800</v>
      </c>
      <c r="L60" t="s">
        <v>18</v>
      </c>
      <c r="M60">
        <v>111</v>
      </c>
      <c r="N60">
        <v>69</v>
      </c>
    </row>
    <row r="61" spans="1:14" x14ac:dyDescent="0.25">
      <c r="A61" t="s">
        <v>14</v>
      </c>
      <c r="B61" t="s">
        <v>33</v>
      </c>
      <c r="C61" t="s">
        <v>144</v>
      </c>
      <c r="D61" t="s">
        <v>145</v>
      </c>
      <c r="E61">
        <v>1127</v>
      </c>
      <c r="F61">
        <v>1182</v>
      </c>
      <c r="G61">
        <v>1182</v>
      </c>
      <c r="H61">
        <v>1182</v>
      </c>
      <c r="I61">
        <v>1182</v>
      </c>
      <c r="J61">
        <v>177300</v>
      </c>
      <c r="K61">
        <v>150</v>
      </c>
      <c r="L61" t="s">
        <v>18</v>
      </c>
      <c r="M61">
        <v>1306.45</v>
      </c>
      <c r="N61">
        <v>412</v>
      </c>
    </row>
    <row r="62" spans="1:14" x14ac:dyDescent="0.25">
      <c r="A62" t="s">
        <v>14</v>
      </c>
      <c r="B62" t="s">
        <v>15</v>
      </c>
      <c r="C62" t="s">
        <v>146</v>
      </c>
      <c r="D62" t="s">
        <v>147</v>
      </c>
      <c r="E62">
        <v>381.9</v>
      </c>
      <c r="F62">
        <v>381.5</v>
      </c>
      <c r="G62">
        <v>393</v>
      </c>
      <c r="H62">
        <v>381</v>
      </c>
      <c r="I62">
        <v>386.45</v>
      </c>
      <c r="J62">
        <v>14760825</v>
      </c>
      <c r="K62">
        <v>38250</v>
      </c>
      <c r="L62" t="s">
        <v>18</v>
      </c>
      <c r="M62">
        <v>888</v>
      </c>
      <c r="N62">
        <v>250.15</v>
      </c>
    </row>
    <row r="63" spans="1:14" x14ac:dyDescent="0.25">
      <c r="A63" t="s">
        <v>14</v>
      </c>
      <c r="B63" t="s">
        <v>15</v>
      </c>
      <c r="C63" t="s">
        <v>148</v>
      </c>
      <c r="D63" t="s">
        <v>149</v>
      </c>
      <c r="E63">
        <v>48</v>
      </c>
      <c r="F63">
        <v>48</v>
      </c>
      <c r="G63">
        <v>50.4</v>
      </c>
      <c r="H63">
        <v>45.7</v>
      </c>
      <c r="I63">
        <v>49</v>
      </c>
      <c r="J63">
        <v>144350</v>
      </c>
      <c r="K63">
        <v>3000</v>
      </c>
      <c r="L63" t="s">
        <v>18</v>
      </c>
      <c r="M63">
        <v>105.9</v>
      </c>
      <c r="N63">
        <v>35.6</v>
      </c>
    </row>
    <row r="64" spans="1:14" x14ac:dyDescent="0.25">
      <c r="A64" t="s">
        <v>14</v>
      </c>
      <c r="B64" t="s">
        <v>15</v>
      </c>
      <c r="C64" t="s">
        <v>150</v>
      </c>
      <c r="D64" t="s">
        <v>151</v>
      </c>
      <c r="E64">
        <v>25.5</v>
      </c>
      <c r="F64">
        <v>25.3</v>
      </c>
      <c r="G64">
        <v>26</v>
      </c>
      <c r="H64">
        <v>25.1</v>
      </c>
      <c r="I64">
        <v>25.9</v>
      </c>
      <c r="J64">
        <v>1534600</v>
      </c>
      <c r="K64">
        <v>60000</v>
      </c>
      <c r="L64" t="s">
        <v>18</v>
      </c>
      <c r="M64">
        <v>36.9</v>
      </c>
      <c r="N64">
        <v>23.5</v>
      </c>
    </row>
    <row r="65" spans="1:14" x14ac:dyDescent="0.25">
      <c r="A65" t="s">
        <v>14</v>
      </c>
      <c r="B65" t="s">
        <v>15</v>
      </c>
      <c r="C65" t="s">
        <v>152</v>
      </c>
      <c r="D65" t="s">
        <v>153</v>
      </c>
      <c r="E65">
        <v>45</v>
      </c>
      <c r="F65">
        <v>45</v>
      </c>
      <c r="G65">
        <v>45.95</v>
      </c>
      <c r="H65">
        <v>45</v>
      </c>
      <c r="I65">
        <v>45.9</v>
      </c>
      <c r="J65">
        <v>181850</v>
      </c>
      <c r="K65">
        <v>4000</v>
      </c>
      <c r="L65" t="s">
        <v>18</v>
      </c>
      <c r="M65">
        <v>136.30000000000001</v>
      </c>
      <c r="N65">
        <v>45</v>
      </c>
    </row>
    <row r="66" spans="1:14" x14ac:dyDescent="0.25">
      <c r="A66" t="s">
        <v>14</v>
      </c>
      <c r="B66" t="s">
        <v>15</v>
      </c>
      <c r="C66" t="s">
        <v>156</v>
      </c>
      <c r="D66" t="s">
        <v>157</v>
      </c>
      <c r="E66">
        <v>27.25</v>
      </c>
      <c r="F66">
        <v>27.1</v>
      </c>
      <c r="G66">
        <v>27.8</v>
      </c>
      <c r="H66">
        <v>26.75</v>
      </c>
      <c r="I66">
        <v>27.7</v>
      </c>
      <c r="J66">
        <v>6479550</v>
      </c>
      <c r="K66">
        <v>237000</v>
      </c>
      <c r="L66" t="s">
        <v>18</v>
      </c>
      <c r="M66">
        <v>68.8</v>
      </c>
      <c r="N66">
        <v>25.75</v>
      </c>
    </row>
    <row r="67" spans="1:14" x14ac:dyDescent="0.25">
      <c r="A67" t="s">
        <v>14</v>
      </c>
      <c r="B67" t="s">
        <v>15</v>
      </c>
      <c r="C67" t="s">
        <v>158</v>
      </c>
      <c r="D67" t="s">
        <v>159</v>
      </c>
      <c r="E67">
        <v>102.8</v>
      </c>
      <c r="F67">
        <v>98.1</v>
      </c>
      <c r="G67">
        <v>112.85</v>
      </c>
      <c r="H67">
        <v>98.1</v>
      </c>
      <c r="I67">
        <v>112.85</v>
      </c>
      <c r="J67">
        <v>2627062.5</v>
      </c>
      <c r="K67">
        <v>24750</v>
      </c>
      <c r="L67" t="s">
        <v>18</v>
      </c>
      <c r="M67">
        <v>183.9</v>
      </c>
      <c r="N67">
        <v>98.1</v>
      </c>
    </row>
    <row r="68" spans="1:14" x14ac:dyDescent="0.25">
      <c r="A68" t="s">
        <v>14</v>
      </c>
      <c r="B68" t="s">
        <v>15</v>
      </c>
      <c r="C68" t="s">
        <v>162</v>
      </c>
      <c r="D68" t="s">
        <v>163</v>
      </c>
      <c r="E68">
        <v>274</v>
      </c>
      <c r="F68">
        <v>273.85000000000002</v>
      </c>
      <c r="G68">
        <v>273.85000000000002</v>
      </c>
      <c r="H68">
        <v>262.10000000000002</v>
      </c>
      <c r="I68">
        <v>266.10000000000002</v>
      </c>
      <c r="J68">
        <v>7693720</v>
      </c>
      <c r="K68">
        <v>28800</v>
      </c>
      <c r="L68" t="s">
        <v>18</v>
      </c>
      <c r="M68">
        <v>358</v>
      </c>
      <c r="N68">
        <v>140</v>
      </c>
    </row>
    <row r="69" spans="1:14" x14ac:dyDescent="0.25">
      <c r="A69" t="s">
        <v>14</v>
      </c>
      <c r="B69" t="s">
        <v>15</v>
      </c>
      <c r="C69" t="s">
        <v>164</v>
      </c>
      <c r="D69" t="s">
        <v>165</v>
      </c>
      <c r="E69">
        <v>113.05</v>
      </c>
      <c r="F69">
        <v>110.05</v>
      </c>
      <c r="G69">
        <v>114</v>
      </c>
      <c r="H69">
        <v>110.05</v>
      </c>
      <c r="I69">
        <v>111.9</v>
      </c>
      <c r="J69">
        <v>1453400</v>
      </c>
      <c r="K69">
        <v>13000</v>
      </c>
      <c r="L69" t="s">
        <v>18</v>
      </c>
      <c r="M69">
        <v>175</v>
      </c>
      <c r="N69">
        <v>82.1</v>
      </c>
    </row>
    <row r="70" spans="1:14" x14ac:dyDescent="0.25">
      <c r="A70" t="s">
        <v>14</v>
      </c>
      <c r="B70" t="s">
        <v>15</v>
      </c>
      <c r="C70" t="s">
        <v>166</v>
      </c>
      <c r="D70" t="s">
        <v>167</v>
      </c>
      <c r="E70">
        <v>45.15</v>
      </c>
      <c r="F70">
        <v>43</v>
      </c>
      <c r="G70">
        <v>44.5</v>
      </c>
      <c r="H70">
        <v>43</v>
      </c>
      <c r="I70">
        <v>44</v>
      </c>
      <c r="J70">
        <v>351200</v>
      </c>
      <c r="K70">
        <v>8000</v>
      </c>
      <c r="L70" t="s">
        <v>18</v>
      </c>
      <c r="M70">
        <v>129</v>
      </c>
      <c r="N70">
        <v>43</v>
      </c>
    </row>
    <row r="71" spans="1:14" x14ac:dyDescent="0.25">
      <c r="A71" t="s">
        <v>14</v>
      </c>
      <c r="B71" t="s">
        <v>15</v>
      </c>
      <c r="C71" t="s">
        <v>168</v>
      </c>
      <c r="D71" t="s">
        <v>169</v>
      </c>
      <c r="E71">
        <v>57</v>
      </c>
      <c r="F71">
        <v>57</v>
      </c>
      <c r="G71">
        <v>59.95</v>
      </c>
      <c r="H71">
        <v>53</v>
      </c>
      <c r="I71">
        <v>55.3</v>
      </c>
      <c r="J71">
        <v>2616880</v>
      </c>
      <c r="K71">
        <v>48000</v>
      </c>
      <c r="L71" t="s">
        <v>18</v>
      </c>
      <c r="M71">
        <v>113.9</v>
      </c>
      <c r="N71">
        <v>53</v>
      </c>
    </row>
    <row r="72" spans="1:14" x14ac:dyDescent="0.25">
      <c r="A72" t="s">
        <v>14</v>
      </c>
      <c r="B72" t="s">
        <v>15</v>
      </c>
      <c r="C72" t="s">
        <v>170</v>
      </c>
      <c r="D72" t="s">
        <v>171</v>
      </c>
      <c r="E72">
        <v>141.69999999999999</v>
      </c>
      <c r="F72">
        <v>143</v>
      </c>
      <c r="G72">
        <v>163</v>
      </c>
      <c r="H72">
        <v>139.94999999999999</v>
      </c>
      <c r="I72">
        <v>154.80000000000001</v>
      </c>
      <c r="J72">
        <v>129783150</v>
      </c>
      <c r="K72">
        <v>854000</v>
      </c>
      <c r="L72" t="s">
        <v>18</v>
      </c>
      <c r="M72">
        <v>163</v>
      </c>
      <c r="N72">
        <v>96.75</v>
      </c>
    </row>
    <row r="73" spans="1:14" x14ac:dyDescent="0.25">
      <c r="A73" t="s">
        <v>14</v>
      </c>
      <c r="B73" t="s">
        <v>15</v>
      </c>
      <c r="C73" t="s">
        <v>172</v>
      </c>
      <c r="D73" t="s">
        <v>173</v>
      </c>
      <c r="E73">
        <v>205.65</v>
      </c>
      <c r="F73">
        <v>200</v>
      </c>
      <c r="G73">
        <v>200</v>
      </c>
      <c r="H73">
        <v>195.5</v>
      </c>
      <c r="I73">
        <v>195.5</v>
      </c>
      <c r="J73">
        <v>2876400</v>
      </c>
      <c r="K73">
        <v>14400</v>
      </c>
      <c r="L73" t="s">
        <v>18</v>
      </c>
      <c r="M73">
        <v>274.05</v>
      </c>
      <c r="N73">
        <v>174.25</v>
      </c>
    </row>
    <row r="74" spans="1:14" x14ac:dyDescent="0.25">
      <c r="A74" t="s">
        <v>14</v>
      </c>
      <c r="B74" t="s">
        <v>15</v>
      </c>
      <c r="C74" t="s">
        <v>174</v>
      </c>
      <c r="D74" t="s">
        <v>175</v>
      </c>
      <c r="E74">
        <v>244.3</v>
      </c>
      <c r="F74">
        <v>245.4</v>
      </c>
      <c r="G74">
        <v>248</v>
      </c>
      <c r="H74">
        <v>237.4</v>
      </c>
      <c r="I74">
        <v>243.4</v>
      </c>
      <c r="J74">
        <v>5997800</v>
      </c>
      <c r="K74">
        <v>24800</v>
      </c>
      <c r="L74" t="s">
        <v>18</v>
      </c>
      <c r="M74">
        <v>293</v>
      </c>
      <c r="N74">
        <v>177</v>
      </c>
    </row>
    <row r="75" spans="1:14" x14ac:dyDescent="0.25">
      <c r="A75" t="s">
        <v>14</v>
      </c>
      <c r="B75" t="s">
        <v>15</v>
      </c>
      <c r="C75" t="s">
        <v>949</v>
      </c>
      <c r="D75" t="s">
        <v>950</v>
      </c>
      <c r="E75">
        <v>21</v>
      </c>
      <c r="F75">
        <v>21.3</v>
      </c>
      <c r="G75">
        <v>21.45</v>
      </c>
      <c r="H75">
        <v>21</v>
      </c>
      <c r="I75">
        <v>21</v>
      </c>
      <c r="J75">
        <v>352631.4</v>
      </c>
      <c r="K75">
        <v>16665</v>
      </c>
      <c r="L75" t="s">
        <v>18</v>
      </c>
      <c r="M75">
        <v>34.85</v>
      </c>
      <c r="N75">
        <v>19.3</v>
      </c>
    </row>
    <row r="76" spans="1:14" x14ac:dyDescent="0.25">
      <c r="A76" t="s">
        <v>14</v>
      </c>
      <c r="B76" t="s">
        <v>15</v>
      </c>
      <c r="C76" t="s">
        <v>176</v>
      </c>
      <c r="D76" t="s">
        <v>177</v>
      </c>
      <c r="E76">
        <v>52.35</v>
      </c>
      <c r="F76">
        <v>50.55</v>
      </c>
      <c r="G76">
        <v>53.3</v>
      </c>
      <c r="H76">
        <v>41.9</v>
      </c>
      <c r="I76">
        <v>41.9</v>
      </c>
      <c r="J76">
        <v>70767937.5</v>
      </c>
      <c r="K76">
        <v>1635000</v>
      </c>
      <c r="L76" t="s">
        <v>18</v>
      </c>
      <c r="M76">
        <v>931</v>
      </c>
      <c r="N76">
        <v>41.9</v>
      </c>
    </row>
    <row r="77" spans="1:14" x14ac:dyDescent="0.25">
      <c r="A77" t="s">
        <v>14</v>
      </c>
      <c r="B77" t="s">
        <v>15</v>
      </c>
      <c r="C77" t="s">
        <v>178</v>
      </c>
      <c r="D77" t="s">
        <v>179</v>
      </c>
      <c r="E77">
        <v>40.5</v>
      </c>
      <c r="F77">
        <v>40.5</v>
      </c>
      <c r="G77">
        <v>40.5</v>
      </c>
      <c r="H77">
        <v>38.65</v>
      </c>
      <c r="I77">
        <v>40.35</v>
      </c>
      <c r="J77">
        <v>159500</v>
      </c>
      <c r="K77">
        <v>4000</v>
      </c>
      <c r="L77" t="s">
        <v>18</v>
      </c>
      <c r="M77">
        <v>94</v>
      </c>
      <c r="N77">
        <v>32.6</v>
      </c>
    </row>
    <row r="78" spans="1:14" x14ac:dyDescent="0.25">
      <c r="A78" t="s">
        <v>14</v>
      </c>
      <c r="B78" t="s">
        <v>15</v>
      </c>
      <c r="C78" t="s">
        <v>180</v>
      </c>
      <c r="D78" t="s">
        <v>181</v>
      </c>
      <c r="E78">
        <v>156.44999999999999</v>
      </c>
      <c r="F78">
        <v>157</v>
      </c>
      <c r="G78">
        <v>160.19999999999999</v>
      </c>
      <c r="H78">
        <v>156.55000000000001</v>
      </c>
      <c r="I78">
        <v>159.1</v>
      </c>
      <c r="J78">
        <v>8031320</v>
      </c>
      <c r="K78">
        <v>50400</v>
      </c>
      <c r="L78" t="s">
        <v>18</v>
      </c>
      <c r="M78">
        <v>259</v>
      </c>
      <c r="N78">
        <v>134.4</v>
      </c>
    </row>
    <row r="79" spans="1:14" x14ac:dyDescent="0.25">
      <c r="A79" t="s">
        <v>14</v>
      </c>
      <c r="B79" t="s">
        <v>15</v>
      </c>
      <c r="C79" t="s">
        <v>951</v>
      </c>
      <c r="D79" t="s">
        <v>952</v>
      </c>
      <c r="E79">
        <v>51.85</v>
      </c>
      <c r="F79">
        <v>46.1</v>
      </c>
      <c r="G79">
        <v>49.1</v>
      </c>
      <c r="H79">
        <v>46.1</v>
      </c>
      <c r="I79">
        <v>48.5</v>
      </c>
      <c r="J79">
        <v>678700</v>
      </c>
      <c r="K79">
        <v>14000</v>
      </c>
      <c r="L79" t="s">
        <v>18</v>
      </c>
      <c r="M79">
        <v>62.8</v>
      </c>
      <c r="N79">
        <v>42.25</v>
      </c>
    </row>
    <row r="80" spans="1:14" x14ac:dyDescent="0.25">
      <c r="A80" t="s">
        <v>14</v>
      </c>
      <c r="B80" t="s">
        <v>15</v>
      </c>
      <c r="C80" t="s">
        <v>182</v>
      </c>
      <c r="D80" t="s">
        <v>183</v>
      </c>
      <c r="E80">
        <v>99.8</v>
      </c>
      <c r="F80">
        <v>98.1</v>
      </c>
      <c r="G80">
        <v>104.6</v>
      </c>
      <c r="H80">
        <v>98</v>
      </c>
      <c r="I80">
        <v>104.6</v>
      </c>
      <c r="J80">
        <v>1015350</v>
      </c>
      <c r="K80">
        <v>10000</v>
      </c>
      <c r="L80" t="s">
        <v>18</v>
      </c>
      <c r="M80">
        <v>147.9</v>
      </c>
      <c r="N80">
        <v>98</v>
      </c>
    </row>
    <row r="81" spans="1:14" x14ac:dyDescent="0.25">
      <c r="A81" t="s">
        <v>14</v>
      </c>
      <c r="B81" t="s">
        <v>15</v>
      </c>
      <c r="C81" t="s">
        <v>953</v>
      </c>
      <c r="D81" t="s">
        <v>954</v>
      </c>
      <c r="E81">
        <v>125.6</v>
      </c>
      <c r="F81">
        <v>128.94999999999999</v>
      </c>
      <c r="G81">
        <v>129</v>
      </c>
      <c r="H81">
        <v>128.94999999999999</v>
      </c>
      <c r="I81">
        <v>129</v>
      </c>
      <c r="J81">
        <v>619120</v>
      </c>
      <c r="K81">
        <v>4800</v>
      </c>
      <c r="L81" t="s">
        <v>18</v>
      </c>
      <c r="M81">
        <v>163</v>
      </c>
      <c r="N81">
        <v>120.05</v>
      </c>
    </row>
    <row r="82" spans="1:14" x14ac:dyDescent="0.25">
      <c r="A82" t="s">
        <v>14</v>
      </c>
      <c r="B82" t="s">
        <v>15</v>
      </c>
      <c r="C82" t="s">
        <v>184</v>
      </c>
      <c r="D82" t="s">
        <v>185</v>
      </c>
      <c r="E82">
        <v>71.3</v>
      </c>
      <c r="F82">
        <v>74.75</v>
      </c>
      <c r="G82">
        <v>74.75</v>
      </c>
      <c r="H82">
        <v>74.75</v>
      </c>
      <c r="I82">
        <v>74.75</v>
      </c>
      <c r="J82">
        <v>119600</v>
      </c>
      <c r="K82">
        <v>1600</v>
      </c>
      <c r="L82" t="s">
        <v>18</v>
      </c>
      <c r="M82">
        <v>100.2</v>
      </c>
      <c r="N82">
        <v>64</v>
      </c>
    </row>
    <row r="83" spans="1:14" x14ac:dyDescent="0.25">
      <c r="A83" t="s">
        <v>14</v>
      </c>
      <c r="B83" t="s">
        <v>15</v>
      </c>
      <c r="C83" t="s">
        <v>186</v>
      </c>
      <c r="D83" t="s">
        <v>187</v>
      </c>
      <c r="E83">
        <v>610.6</v>
      </c>
      <c r="F83">
        <v>607.54999999999995</v>
      </c>
      <c r="G83">
        <v>627.54999999999995</v>
      </c>
      <c r="H83">
        <v>607.54999999999995</v>
      </c>
      <c r="I83">
        <v>616</v>
      </c>
      <c r="J83">
        <v>5844855</v>
      </c>
      <c r="K83">
        <v>9450</v>
      </c>
      <c r="L83" t="s">
        <v>18</v>
      </c>
      <c r="M83">
        <v>1189</v>
      </c>
      <c r="N83">
        <v>598</v>
      </c>
    </row>
    <row r="84" spans="1:14" x14ac:dyDescent="0.25">
      <c r="A84" t="s">
        <v>14</v>
      </c>
      <c r="B84" t="s">
        <v>15</v>
      </c>
      <c r="C84" t="s">
        <v>190</v>
      </c>
      <c r="D84" t="s">
        <v>191</v>
      </c>
      <c r="E84">
        <v>62</v>
      </c>
      <c r="F84">
        <v>62</v>
      </c>
      <c r="G84">
        <v>62</v>
      </c>
      <c r="H84">
        <v>59.25</v>
      </c>
      <c r="I84">
        <v>60.6</v>
      </c>
      <c r="J84">
        <v>145500</v>
      </c>
      <c r="K84">
        <v>2400</v>
      </c>
      <c r="L84" t="s">
        <v>18</v>
      </c>
      <c r="M84">
        <v>95.8</v>
      </c>
      <c r="N84">
        <v>53.9</v>
      </c>
    </row>
    <row r="85" spans="1:14" x14ac:dyDescent="0.25">
      <c r="A85" t="s">
        <v>14</v>
      </c>
      <c r="B85" t="s">
        <v>15</v>
      </c>
      <c r="C85" t="s">
        <v>192</v>
      </c>
      <c r="D85" t="s">
        <v>193</v>
      </c>
      <c r="E85">
        <v>141.05000000000001</v>
      </c>
      <c r="F85">
        <v>141.05000000000001</v>
      </c>
      <c r="G85">
        <v>147.9</v>
      </c>
      <c r="H85">
        <v>141.05000000000001</v>
      </c>
      <c r="I85">
        <v>147.19999999999999</v>
      </c>
      <c r="J85">
        <v>4516890</v>
      </c>
      <c r="K85">
        <v>31200</v>
      </c>
      <c r="L85" t="s">
        <v>18</v>
      </c>
      <c r="M85">
        <v>374.8</v>
      </c>
      <c r="N85">
        <v>132</v>
      </c>
    </row>
    <row r="86" spans="1:14" x14ac:dyDescent="0.25">
      <c r="A86" t="s">
        <v>14</v>
      </c>
      <c r="B86" t="s">
        <v>15</v>
      </c>
      <c r="C86" t="s">
        <v>955</v>
      </c>
      <c r="D86" t="s">
        <v>956</v>
      </c>
      <c r="E86">
        <v>22.5</v>
      </c>
      <c r="F86">
        <v>22.6</v>
      </c>
      <c r="G86">
        <v>23.5</v>
      </c>
      <c r="H86">
        <v>22.6</v>
      </c>
      <c r="I86">
        <v>23</v>
      </c>
      <c r="J86">
        <v>165480</v>
      </c>
      <c r="K86">
        <v>7200</v>
      </c>
      <c r="L86" t="s">
        <v>18</v>
      </c>
      <c r="M86">
        <v>65</v>
      </c>
      <c r="N86">
        <v>20.149999999999999</v>
      </c>
    </row>
    <row r="87" spans="1:14" x14ac:dyDescent="0.25">
      <c r="A87" t="s">
        <v>14</v>
      </c>
      <c r="B87" t="s">
        <v>15</v>
      </c>
      <c r="C87" t="s">
        <v>194</v>
      </c>
      <c r="D87" t="s">
        <v>195</v>
      </c>
      <c r="E87">
        <v>45.35</v>
      </c>
      <c r="F87">
        <v>45.75</v>
      </c>
      <c r="G87">
        <v>47.4</v>
      </c>
      <c r="H87">
        <v>45</v>
      </c>
      <c r="I87">
        <v>45</v>
      </c>
      <c r="J87">
        <v>228900</v>
      </c>
      <c r="K87">
        <v>5000</v>
      </c>
      <c r="L87" t="s">
        <v>18</v>
      </c>
      <c r="M87">
        <v>76.45</v>
      </c>
      <c r="N87">
        <v>38.35</v>
      </c>
    </row>
    <row r="88" spans="1:14" x14ac:dyDescent="0.25">
      <c r="A88" t="s">
        <v>14</v>
      </c>
      <c r="B88" t="s">
        <v>15</v>
      </c>
      <c r="C88" t="s">
        <v>196</v>
      </c>
      <c r="D88" t="s">
        <v>197</v>
      </c>
      <c r="E88">
        <v>110</v>
      </c>
      <c r="F88">
        <v>110</v>
      </c>
      <c r="G88">
        <v>112.9</v>
      </c>
      <c r="H88">
        <v>107</v>
      </c>
      <c r="I88">
        <v>109</v>
      </c>
      <c r="J88">
        <v>1050600</v>
      </c>
      <c r="K88">
        <v>9600</v>
      </c>
      <c r="L88" t="s">
        <v>18</v>
      </c>
      <c r="M88">
        <v>220</v>
      </c>
      <c r="N88">
        <v>107</v>
      </c>
    </row>
    <row r="89" spans="1:14" x14ac:dyDescent="0.25">
      <c r="A89" t="s">
        <v>14</v>
      </c>
      <c r="B89" t="s">
        <v>15</v>
      </c>
      <c r="C89" t="s">
        <v>198</v>
      </c>
      <c r="D89" t="s">
        <v>199</v>
      </c>
      <c r="E89">
        <v>38.549999999999997</v>
      </c>
      <c r="F89">
        <v>39</v>
      </c>
      <c r="G89">
        <v>40.049999999999997</v>
      </c>
      <c r="H89">
        <v>39</v>
      </c>
      <c r="I89">
        <v>40</v>
      </c>
      <c r="J89">
        <v>276550</v>
      </c>
      <c r="K89">
        <v>7000</v>
      </c>
      <c r="L89" t="s">
        <v>18</v>
      </c>
      <c r="M89">
        <v>129.9</v>
      </c>
      <c r="N89">
        <v>37.15</v>
      </c>
    </row>
    <row r="90" spans="1:14" x14ac:dyDescent="0.25">
      <c r="A90" t="s">
        <v>14</v>
      </c>
      <c r="B90" t="s">
        <v>15</v>
      </c>
      <c r="C90" t="s">
        <v>202</v>
      </c>
      <c r="D90" t="s">
        <v>203</v>
      </c>
      <c r="E90">
        <v>124</v>
      </c>
      <c r="F90">
        <v>123.5</v>
      </c>
      <c r="G90">
        <v>124</v>
      </c>
      <c r="H90">
        <v>122</v>
      </c>
      <c r="I90">
        <v>122.6</v>
      </c>
      <c r="J90">
        <v>1476150</v>
      </c>
      <c r="K90">
        <v>12000</v>
      </c>
      <c r="L90" t="s">
        <v>18</v>
      </c>
      <c r="M90">
        <v>157.5</v>
      </c>
      <c r="N90">
        <v>103.2</v>
      </c>
    </row>
    <row r="91" spans="1:14" x14ac:dyDescent="0.25">
      <c r="A91" t="s">
        <v>204</v>
      </c>
      <c r="B91" t="s">
        <v>33</v>
      </c>
      <c r="C91" t="s">
        <v>205</v>
      </c>
      <c r="D91" t="s">
        <v>206</v>
      </c>
      <c r="E91">
        <v>401</v>
      </c>
      <c r="F91">
        <v>398.15</v>
      </c>
      <c r="G91">
        <v>407</v>
      </c>
      <c r="H91">
        <v>398.1</v>
      </c>
      <c r="I91">
        <v>407</v>
      </c>
      <c r="J91">
        <v>7521750</v>
      </c>
      <c r="K91">
        <v>18600</v>
      </c>
      <c r="L91" t="s">
        <v>18</v>
      </c>
      <c r="M91">
        <v>407</v>
      </c>
      <c r="N91">
        <v>90.5</v>
      </c>
    </row>
    <row r="92" spans="1:14" x14ac:dyDescent="0.25">
      <c r="A92" t="s">
        <v>14</v>
      </c>
      <c r="B92" t="s">
        <v>15</v>
      </c>
      <c r="C92" t="s">
        <v>957</v>
      </c>
      <c r="D92" t="s">
        <v>958</v>
      </c>
      <c r="E92">
        <v>125.5</v>
      </c>
      <c r="F92">
        <v>126</v>
      </c>
      <c r="G92">
        <v>126</v>
      </c>
      <c r="H92">
        <v>126</v>
      </c>
      <c r="I92">
        <v>126</v>
      </c>
      <c r="J92">
        <v>151200</v>
      </c>
      <c r="K92">
        <v>1200</v>
      </c>
      <c r="L92" t="s">
        <v>18</v>
      </c>
      <c r="M92">
        <v>178</v>
      </c>
      <c r="N92">
        <v>105</v>
      </c>
    </row>
    <row r="93" spans="1:14" x14ac:dyDescent="0.25">
      <c r="A93" t="s">
        <v>14</v>
      </c>
      <c r="B93" t="s">
        <v>15</v>
      </c>
      <c r="C93" t="s">
        <v>207</v>
      </c>
      <c r="D93" t="s">
        <v>208</v>
      </c>
      <c r="E93">
        <v>64.45</v>
      </c>
      <c r="F93">
        <v>62.95</v>
      </c>
      <c r="G93">
        <v>63</v>
      </c>
      <c r="H93">
        <v>61.7</v>
      </c>
      <c r="I93">
        <v>62.25</v>
      </c>
      <c r="J93">
        <v>374220</v>
      </c>
      <c r="K93">
        <v>6000</v>
      </c>
      <c r="L93" t="s">
        <v>18</v>
      </c>
      <c r="M93">
        <v>255.15</v>
      </c>
      <c r="N93">
        <v>61.25</v>
      </c>
    </row>
    <row r="94" spans="1:14" x14ac:dyDescent="0.25">
      <c r="A94" t="s">
        <v>204</v>
      </c>
      <c r="B94" t="s">
        <v>33</v>
      </c>
      <c r="C94" t="s">
        <v>209</v>
      </c>
      <c r="D94" t="s">
        <v>210</v>
      </c>
      <c r="E94">
        <v>229.8</v>
      </c>
      <c r="F94">
        <v>227</v>
      </c>
      <c r="G94">
        <v>227</v>
      </c>
      <c r="H94">
        <v>226.5</v>
      </c>
      <c r="I94">
        <v>226.5</v>
      </c>
      <c r="J94">
        <v>2537600</v>
      </c>
      <c r="K94">
        <v>11200</v>
      </c>
      <c r="L94" t="s">
        <v>18</v>
      </c>
      <c r="M94">
        <v>257.75</v>
      </c>
      <c r="N94">
        <v>43</v>
      </c>
    </row>
    <row r="95" spans="1:14" x14ac:dyDescent="0.25">
      <c r="A95" t="s">
        <v>204</v>
      </c>
      <c r="B95" t="s">
        <v>33</v>
      </c>
      <c r="C95" t="s">
        <v>211</v>
      </c>
      <c r="D95" t="s">
        <v>212</v>
      </c>
      <c r="E95">
        <v>273.75</v>
      </c>
      <c r="F95">
        <v>268.3</v>
      </c>
      <c r="G95">
        <v>268.39999999999998</v>
      </c>
      <c r="H95">
        <v>268.3</v>
      </c>
      <c r="I95">
        <v>268.39999999999998</v>
      </c>
      <c r="J95">
        <v>2280800</v>
      </c>
      <c r="K95">
        <v>8500</v>
      </c>
      <c r="L95" t="s">
        <v>18</v>
      </c>
      <c r="M95">
        <v>330.6</v>
      </c>
      <c r="N95">
        <v>92.05</v>
      </c>
    </row>
    <row r="96" spans="1:14" x14ac:dyDescent="0.25">
      <c r="A96" t="s">
        <v>14</v>
      </c>
      <c r="B96" t="s">
        <v>15</v>
      </c>
      <c r="C96" t="s">
        <v>213</v>
      </c>
      <c r="D96" t="s">
        <v>214</v>
      </c>
      <c r="E96">
        <v>37.799999999999997</v>
      </c>
      <c r="F96">
        <v>35.35</v>
      </c>
      <c r="G96">
        <v>35.35</v>
      </c>
      <c r="H96">
        <v>35.35</v>
      </c>
      <c r="I96">
        <v>35.35</v>
      </c>
      <c r="J96">
        <v>141400</v>
      </c>
      <c r="K96">
        <v>4000</v>
      </c>
      <c r="L96" t="s">
        <v>18</v>
      </c>
      <c r="M96">
        <v>44.25</v>
      </c>
      <c r="N96">
        <v>32</v>
      </c>
    </row>
    <row r="97" spans="1:14" x14ac:dyDescent="0.25">
      <c r="A97" t="s">
        <v>14</v>
      </c>
      <c r="B97" t="s">
        <v>15</v>
      </c>
      <c r="C97" t="s">
        <v>215</v>
      </c>
      <c r="D97" t="s">
        <v>216</v>
      </c>
      <c r="E97">
        <v>52.7</v>
      </c>
      <c r="F97">
        <v>52.9</v>
      </c>
      <c r="G97">
        <v>54.45</v>
      </c>
      <c r="H97">
        <v>52.9</v>
      </c>
      <c r="I97">
        <v>53.6</v>
      </c>
      <c r="J97">
        <v>853525</v>
      </c>
      <c r="K97">
        <v>16000</v>
      </c>
      <c r="L97" t="s">
        <v>18</v>
      </c>
      <c r="M97">
        <v>166.3</v>
      </c>
      <c r="N97">
        <v>50.55</v>
      </c>
    </row>
    <row r="98" spans="1:14" x14ac:dyDescent="0.25">
      <c r="A98" t="s">
        <v>14</v>
      </c>
      <c r="B98" t="s">
        <v>15</v>
      </c>
      <c r="C98" t="s">
        <v>219</v>
      </c>
      <c r="D98" t="s">
        <v>220</v>
      </c>
      <c r="E98">
        <v>52.25</v>
      </c>
      <c r="F98">
        <v>54.8</v>
      </c>
      <c r="G98">
        <v>54.8</v>
      </c>
      <c r="H98">
        <v>54.8</v>
      </c>
      <c r="I98">
        <v>54.8</v>
      </c>
      <c r="J98">
        <v>43840</v>
      </c>
      <c r="K98">
        <v>800</v>
      </c>
      <c r="L98" t="s">
        <v>18</v>
      </c>
      <c r="M98">
        <v>118.7</v>
      </c>
      <c r="N98">
        <v>52.25</v>
      </c>
    </row>
    <row r="99" spans="1:14" x14ac:dyDescent="0.25">
      <c r="A99" t="s">
        <v>14</v>
      </c>
      <c r="B99" t="s">
        <v>15</v>
      </c>
      <c r="C99" t="s">
        <v>221</v>
      </c>
      <c r="D99" t="s">
        <v>222</v>
      </c>
      <c r="E99">
        <v>126.45</v>
      </c>
      <c r="F99">
        <v>123.95</v>
      </c>
      <c r="G99">
        <v>131.5</v>
      </c>
      <c r="H99">
        <v>122.55</v>
      </c>
      <c r="I99">
        <v>131.5</v>
      </c>
      <c r="J99">
        <v>1823200</v>
      </c>
      <c r="K99">
        <v>14400</v>
      </c>
      <c r="L99" t="s">
        <v>18</v>
      </c>
      <c r="M99">
        <v>209.5</v>
      </c>
      <c r="N99">
        <v>93.5</v>
      </c>
    </row>
    <row r="100" spans="1:14" x14ac:dyDescent="0.25">
      <c r="A100" t="s">
        <v>14</v>
      </c>
      <c r="B100" t="s">
        <v>15</v>
      </c>
      <c r="C100" t="s">
        <v>225</v>
      </c>
      <c r="D100" t="s">
        <v>226</v>
      </c>
      <c r="E100">
        <v>37.799999999999997</v>
      </c>
      <c r="F100">
        <v>39</v>
      </c>
      <c r="G100">
        <v>39</v>
      </c>
      <c r="H100">
        <v>36.25</v>
      </c>
      <c r="I100">
        <v>36.5</v>
      </c>
      <c r="J100">
        <v>832400</v>
      </c>
      <c r="K100">
        <v>22000</v>
      </c>
      <c r="L100" t="s">
        <v>18</v>
      </c>
      <c r="M100">
        <v>58</v>
      </c>
      <c r="N100">
        <v>30.55</v>
      </c>
    </row>
    <row r="101" spans="1:14" x14ac:dyDescent="0.25">
      <c r="A101" t="s">
        <v>14</v>
      </c>
      <c r="B101" t="s">
        <v>15</v>
      </c>
      <c r="C101" t="s">
        <v>227</v>
      </c>
      <c r="D101" t="s">
        <v>228</v>
      </c>
      <c r="E101">
        <v>138.15</v>
      </c>
      <c r="F101">
        <v>135.05000000000001</v>
      </c>
      <c r="G101">
        <v>139.9</v>
      </c>
      <c r="H101">
        <v>133.5</v>
      </c>
      <c r="I101">
        <v>135.94999999999999</v>
      </c>
      <c r="J101">
        <v>3861925</v>
      </c>
      <c r="K101">
        <v>28500</v>
      </c>
      <c r="L101" t="s">
        <v>18</v>
      </c>
      <c r="M101">
        <v>312.64999999999998</v>
      </c>
      <c r="N101">
        <v>85.4</v>
      </c>
    </row>
    <row r="102" spans="1:14" x14ac:dyDescent="0.25">
      <c r="A102" t="s">
        <v>14</v>
      </c>
      <c r="B102" t="s">
        <v>15</v>
      </c>
      <c r="C102" t="s">
        <v>231</v>
      </c>
      <c r="D102" t="s">
        <v>232</v>
      </c>
      <c r="E102">
        <v>217.8</v>
      </c>
      <c r="F102">
        <v>215</v>
      </c>
      <c r="G102">
        <v>216.15</v>
      </c>
      <c r="H102">
        <v>202.35</v>
      </c>
      <c r="I102">
        <v>204.55</v>
      </c>
      <c r="J102">
        <v>11747280</v>
      </c>
      <c r="K102">
        <v>56000</v>
      </c>
      <c r="L102" t="s">
        <v>18</v>
      </c>
      <c r="M102">
        <v>347.1</v>
      </c>
      <c r="N102">
        <v>202.35</v>
      </c>
    </row>
    <row r="103" spans="1:14" x14ac:dyDescent="0.25">
      <c r="A103" t="s">
        <v>14</v>
      </c>
      <c r="B103" t="s">
        <v>15</v>
      </c>
      <c r="C103" t="s">
        <v>233</v>
      </c>
      <c r="D103" t="s">
        <v>234</v>
      </c>
      <c r="E103">
        <v>131.94999999999999</v>
      </c>
      <c r="F103">
        <v>128</v>
      </c>
      <c r="G103">
        <v>128.5</v>
      </c>
      <c r="H103">
        <v>128</v>
      </c>
      <c r="I103">
        <v>128.15</v>
      </c>
      <c r="J103">
        <v>768500</v>
      </c>
      <c r="K103">
        <v>6000</v>
      </c>
      <c r="L103" t="s">
        <v>18</v>
      </c>
      <c r="M103">
        <v>143.9</v>
      </c>
      <c r="N103">
        <v>115</v>
      </c>
    </row>
    <row r="104" spans="1:14" x14ac:dyDescent="0.25">
      <c r="A104" t="s">
        <v>14</v>
      </c>
      <c r="B104" t="s">
        <v>15</v>
      </c>
      <c r="C104" t="s">
        <v>235</v>
      </c>
      <c r="D104" t="s">
        <v>236</v>
      </c>
      <c r="E104">
        <v>207.65</v>
      </c>
      <c r="F104">
        <v>209.95</v>
      </c>
      <c r="G104">
        <v>210.95</v>
      </c>
      <c r="H104">
        <v>206.1</v>
      </c>
      <c r="I104">
        <v>208.15</v>
      </c>
      <c r="J104">
        <v>1840380</v>
      </c>
      <c r="K104">
        <v>8800</v>
      </c>
      <c r="L104" t="s">
        <v>18</v>
      </c>
      <c r="M104">
        <v>270</v>
      </c>
      <c r="N104">
        <v>147.55000000000001</v>
      </c>
    </row>
    <row r="105" spans="1:14" x14ac:dyDescent="0.25">
      <c r="A105" t="s">
        <v>14</v>
      </c>
      <c r="B105" t="s">
        <v>15</v>
      </c>
      <c r="C105" t="s">
        <v>237</v>
      </c>
      <c r="D105" t="s">
        <v>238</v>
      </c>
      <c r="E105">
        <v>31.6</v>
      </c>
      <c r="F105">
        <v>31</v>
      </c>
      <c r="G105">
        <v>31</v>
      </c>
      <c r="H105">
        <v>30</v>
      </c>
      <c r="I105">
        <v>30.35</v>
      </c>
      <c r="J105">
        <v>109620</v>
      </c>
      <c r="K105">
        <v>3600</v>
      </c>
      <c r="L105" t="s">
        <v>18</v>
      </c>
      <c r="M105">
        <v>54.5</v>
      </c>
      <c r="N105">
        <v>29.2</v>
      </c>
    </row>
    <row r="106" spans="1:14" x14ac:dyDescent="0.25">
      <c r="A106" t="s">
        <v>14</v>
      </c>
      <c r="B106" t="s">
        <v>15</v>
      </c>
      <c r="C106" t="s">
        <v>239</v>
      </c>
      <c r="D106" t="s">
        <v>240</v>
      </c>
      <c r="E106">
        <v>75.2</v>
      </c>
      <c r="F106">
        <v>76.3</v>
      </c>
      <c r="G106">
        <v>81.7</v>
      </c>
      <c r="H106">
        <v>76.3</v>
      </c>
      <c r="I106">
        <v>81.599999999999994</v>
      </c>
      <c r="J106">
        <v>317000</v>
      </c>
      <c r="K106">
        <v>4000</v>
      </c>
      <c r="L106" t="s">
        <v>18</v>
      </c>
      <c r="M106">
        <v>163.5</v>
      </c>
      <c r="N106">
        <v>74.150000000000006</v>
      </c>
    </row>
    <row r="107" spans="1:14" x14ac:dyDescent="0.25">
      <c r="A107" t="s">
        <v>14</v>
      </c>
      <c r="B107" t="s">
        <v>15</v>
      </c>
      <c r="C107" t="s">
        <v>243</v>
      </c>
      <c r="D107" t="s">
        <v>244</v>
      </c>
      <c r="E107">
        <v>94.25</v>
      </c>
      <c r="F107">
        <v>94.05</v>
      </c>
      <c r="G107">
        <v>97</v>
      </c>
      <c r="H107">
        <v>90</v>
      </c>
      <c r="I107">
        <v>92</v>
      </c>
      <c r="J107">
        <v>3589320</v>
      </c>
      <c r="K107">
        <v>38400</v>
      </c>
      <c r="L107" t="s">
        <v>18</v>
      </c>
      <c r="M107">
        <v>153</v>
      </c>
      <c r="N107">
        <v>90</v>
      </c>
    </row>
    <row r="108" spans="1:14" x14ac:dyDescent="0.25">
      <c r="A108" t="s">
        <v>14</v>
      </c>
      <c r="B108" t="s">
        <v>15</v>
      </c>
      <c r="C108" t="s">
        <v>245</v>
      </c>
      <c r="D108" t="s">
        <v>246</v>
      </c>
      <c r="E108">
        <v>97</v>
      </c>
      <c r="F108">
        <v>97</v>
      </c>
      <c r="G108">
        <v>97</v>
      </c>
      <c r="H108">
        <v>90.05</v>
      </c>
      <c r="I108">
        <v>95</v>
      </c>
      <c r="J108">
        <v>353850</v>
      </c>
      <c r="K108">
        <v>3750</v>
      </c>
      <c r="L108" t="s">
        <v>18</v>
      </c>
      <c r="M108">
        <v>480</v>
      </c>
      <c r="N108">
        <v>90.05</v>
      </c>
    </row>
    <row r="109" spans="1:14" x14ac:dyDescent="0.25">
      <c r="A109" t="s">
        <v>14</v>
      </c>
      <c r="B109" t="s">
        <v>15</v>
      </c>
      <c r="C109" t="s">
        <v>247</v>
      </c>
      <c r="D109" t="s">
        <v>248</v>
      </c>
      <c r="E109">
        <v>214</v>
      </c>
      <c r="F109">
        <v>214</v>
      </c>
      <c r="G109">
        <v>214</v>
      </c>
      <c r="H109">
        <v>206</v>
      </c>
      <c r="I109">
        <v>208.7</v>
      </c>
      <c r="J109">
        <v>15703560</v>
      </c>
      <c r="K109">
        <v>74400</v>
      </c>
      <c r="L109" t="s">
        <v>18</v>
      </c>
      <c r="M109">
        <v>265</v>
      </c>
      <c r="N109">
        <v>167.35</v>
      </c>
    </row>
    <row r="110" spans="1:14" x14ac:dyDescent="0.25">
      <c r="A110" t="s">
        <v>14</v>
      </c>
      <c r="B110" t="s">
        <v>15</v>
      </c>
      <c r="C110" t="s">
        <v>249</v>
      </c>
      <c r="D110" t="s">
        <v>250</v>
      </c>
      <c r="E110">
        <v>142.55000000000001</v>
      </c>
      <c r="F110">
        <v>142.80000000000001</v>
      </c>
      <c r="G110">
        <v>149</v>
      </c>
      <c r="H110">
        <v>142.80000000000001</v>
      </c>
      <c r="I110">
        <v>149</v>
      </c>
      <c r="J110">
        <v>147450</v>
      </c>
      <c r="K110">
        <v>1000</v>
      </c>
      <c r="L110" t="s">
        <v>18</v>
      </c>
      <c r="M110">
        <v>319</v>
      </c>
      <c r="N110">
        <v>139.44999999999999</v>
      </c>
    </row>
    <row r="111" spans="1:14" x14ac:dyDescent="0.25">
      <c r="A111" t="s">
        <v>14</v>
      </c>
      <c r="B111" t="s">
        <v>15</v>
      </c>
      <c r="C111" t="s">
        <v>251</v>
      </c>
      <c r="D111" t="s">
        <v>252</v>
      </c>
      <c r="E111">
        <v>205</v>
      </c>
      <c r="F111">
        <v>246</v>
      </c>
      <c r="G111">
        <v>246</v>
      </c>
      <c r="H111">
        <v>220.5</v>
      </c>
      <c r="I111">
        <v>226.95</v>
      </c>
      <c r="J111">
        <v>6507210</v>
      </c>
      <c r="K111">
        <v>28800</v>
      </c>
      <c r="L111" t="s">
        <v>18</v>
      </c>
      <c r="M111">
        <v>284</v>
      </c>
      <c r="N111">
        <v>164</v>
      </c>
    </row>
    <row r="112" spans="1:14" x14ac:dyDescent="0.25">
      <c r="A112" t="s">
        <v>14</v>
      </c>
      <c r="B112" t="s">
        <v>15</v>
      </c>
      <c r="C112" t="s">
        <v>253</v>
      </c>
      <c r="D112" t="s">
        <v>254</v>
      </c>
      <c r="E112">
        <v>12.95</v>
      </c>
      <c r="F112">
        <v>12</v>
      </c>
      <c r="G112">
        <v>13.5</v>
      </c>
      <c r="H112">
        <v>12</v>
      </c>
      <c r="I112">
        <v>13.4</v>
      </c>
      <c r="J112">
        <v>629750</v>
      </c>
      <c r="K112">
        <v>50000</v>
      </c>
      <c r="L112" t="s">
        <v>18</v>
      </c>
      <c r="M112">
        <v>162.80000000000001</v>
      </c>
      <c r="N112">
        <v>12</v>
      </c>
    </row>
    <row r="113" spans="1:14" x14ac:dyDescent="0.25">
      <c r="A113" t="s">
        <v>14</v>
      </c>
      <c r="B113" t="s">
        <v>15</v>
      </c>
      <c r="C113" t="s">
        <v>255</v>
      </c>
      <c r="D113" t="s">
        <v>256</v>
      </c>
      <c r="E113">
        <v>86.7</v>
      </c>
      <c r="F113">
        <v>87.5</v>
      </c>
      <c r="G113">
        <v>90.6</v>
      </c>
      <c r="H113">
        <v>86</v>
      </c>
      <c r="I113">
        <v>90.55</v>
      </c>
      <c r="J113">
        <v>4407750</v>
      </c>
      <c r="K113">
        <v>50000</v>
      </c>
      <c r="L113" t="s">
        <v>18</v>
      </c>
      <c r="M113">
        <v>173</v>
      </c>
      <c r="N113">
        <v>82</v>
      </c>
    </row>
    <row r="114" spans="1:14" x14ac:dyDescent="0.25">
      <c r="A114" t="s">
        <v>14</v>
      </c>
      <c r="B114" t="s">
        <v>15</v>
      </c>
      <c r="C114" t="s">
        <v>257</v>
      </c>
      <c r="D114" t="s">
        <v>258</v>
      </c>
      <c r="E114">
        <v>153</v>
      </c>
      <c r="F114">
        <v>155</v>
      </c>
      <c r="G114">
        <v>158</v>
      </c>
      <c r="H114">
        <v>151.30000000000001</v>
      </c>
      <c r="I114">
        <v>155.05000000000001</v>
      </c>
      <c r="J114">
        <v>2786350</v>
      </c>
      <c r="K114">
        <v>18000</v>
      </c>
      <c r="L114" t="s">
        <v>18</v>
      </c>
      <c r="M114">
        <v>267.89999999999998</v>
      </c>
      <c r="N114">
        <v>138</v>
      </c>
    </row>
    <row r="115" spans="1:14" x14ac:dyDescent="0.25">
      <c r="A115" t="s">
        <v>14</v>
      </c>
      <c r="B115" t="s">
        <v>15</v>
      </c>
      <c r="C115" t="s">
        <v>259</v>
      </c>
      <c r="D115" t="s">
        <v>260</v>
      </c>
      <c r="E115">
        <v>100</v>
      </c>
      <c r="F115">
        <v>100</v>
      </c>
      <c r="G115">
        <v>100</v>
      </c>
      <c r="H115">
        <v>100</v>
      </c>
      <c r="I115">
        <v>100</v>
      </c>
      <c r="J115">
        <v>480000</v>
      </c>
      <c r="K115">
        <v>4800</v>
      </c>
      <c r="L115" t="s">
        <v>18</v>
      </c>
      <c r="M115">
        <v>123.5</v>
      </c>
      <c r="N115">
        <v>98</v>
      </c>
    </row>
    <row r="116" spans="1:14" x14ac:dyDescent="0.25">
      <c r="A116" t="s">
        <v>14</v>
      </c>
      <c r="B116" t="s">
        <v>15</v>
      </c>
      <c r="C116" t="s">
        <v>261</v>
      </c>
      <c r="D116" t="s">
        <v>262</v>
      </c>
      <c r="E116">
        <v>122.85</v>
      </c>
      <c r="F116">
        <v>122.85</v>
      </c>
      <c r="G116">
        <v>122.85</v>
      </c>
      <c r="H116">
        <v>118</v>
      </c>
      <c r="I116">
        <v>119.65</v>
      </c>
      <c r="J116">
        <v>1488160</v>
      </c>
      <c r="K116">
        <v>12400</v>
      </c>
      <c r="L116" t="s">
        <v>18</v>
      </c>
      <c r="M116">
        <v>316</v>
      </c>
      <c r="N116">
        <v>114.5</v>
      </c>
    </row>
    <row r="117" spans="1:14" x14ac:dyDescent="0.25">
      <c r="A117" t="s">
        <v>14</v>
      </c>
      <c r="B117" t="s">
        <v>15</v>
      </c>
      <c r="C117" t="s">
        <v>263</v>
      </c>
      <c r="D117" t="s">
        <v>264</v>
      </c>
      <c r="E117">
        <v>72</v>
      </c>
      <c r="F117">
        <v>73</v>
      </c>
      <c r="G117">
        <v>73</v>
      </c>
      <c r="H117">
        <v>70</v>
      </c>
      <c r="I117">
        <v>70</v>
      </c>
      <c r="J117">
        <v>694400</v>
      </c>
      <c r="K117">
        <v>9600</v>
      </c>
      <c r="L117" t="s">
        <v>18</v>
      </c>
      <c r="M117">
        <v>135</v>
      </c>
      <c r="N117">
        <v>52</v>
      </c>
    </row>
    <row r="118" spans="1:14" x14ac:dyDescent="0.25">
      <c r="A118" t="s">
        <v>14</v>
      </c>
      <c r="B118" t="s">
        <v>15</v>
      </c>
      <c r="C118" t="s">
        <v>265</v>
      </c>
      <c r="D118" t="s">
        <v>266</v>
      </c>
      <c r="E118">
        <v>149.85</v>
      </c>
      <c r="F118">
        <v>151.94999999999999</v>
      </c>
      <c r="G118">
        <v>151.94999999999999</v>
      </c>
      <c r="H118">
        <v>147.6</v>
      </c>
      <c r="I118">
        <v>149.55000000000001</v>
      </c>
      <c r="J118">
        <v>2206548</v>
      </c>
      <c r="K118">
        <v>14760</v>
      </c>
      <c r="L118" t="s">
        <v>18</v>
      </c>
      <c r="M118">
        <v>625.45000000000005</v>
      </c>
      <c r="N118">
        <v>136.5</v>
      </c>
    </row>
    <row r="119" spans="1:14" x14ac:dyDescent="0.25">
      <c r="A119" t="s">
        <v>14</v>
      </c>
      <c r="B119" t="s">
        <v>33</v>
      </c>
      <c r="C119" t="s">
        <v>267</v>
      </c>
      <c r="D119" t="s">
        <v>268</v>
      </c>
      <c r="E119">
        <v>62.85</v>
      </c>
      <c r="F119">
        <v>64.900000000000006</v>
      </c>
      <c r="G119">
        <v>65.95</v>
      </c>
      <c r="H119">
        <v>60.05</v>
      </c>
      <c r="I119">
        <v>65.25</v>
      </c>
      <c r="J119">
        <v>1139760</v>
      </c>
      <c r="K119">
        <v>17600</v>
      </c>
      <c r="L119" t="s">
        <v>18</v>
      </c>
      <c r="M119">
        <v>71.25</v>
      </c>
      <c r="N119">
        <v>36.9</v>
      </c>
    </row>
    <row r="120" spans="1:14" x14ac:dyDescent="0.25">
      <c r="A120" t="s">
        <v>14</v>
      </c>
      <c r="B120" t="s">
        <v>33</v>
      </c>
      <c r="C120" t="s">
        <v>269</v>
      </c>
      <c r="D120" t="s">
        <v>270</v>
      </c>
      <c r="E120">
        <v>227.5</v>
      </c>
      <c r="F120">
        <v>238.85</v>
      </c>
      <c r="G120">
        <v>238.85</v>
      </c>
      <c r="H120">
        <v>216.15</v>
      </c>
      <c r="I120">
        <v>225.05</v>
      </c>
      <c r="J120">
        <v>18844480</v>
      </c>
      <c r="K120">
        <v>81600</v>
      </c>
      <c r="L120" t="s">
        <v>18</v>
      </c>
      <c r="M120">
        <v>281.89999999999998</v>
      </c>
      <c r="N120">
        <v>104.5</v>
      </c>
    </row>
    <row r="121" spans="1:14" x14ac:dyDescent="0.25">
      <c r="A121" t="s">
        <v>14</v>
      </c>
      <c r="B121" t="s">
        <v>15</v>
      </c>
      <c r="C121" t="s">
        <v>271</v>
      </c>
      <c r="D121" t="s">
        <v>272</v>
      </c>
      <c r="E121">
        <v>14.45</v>
      </c>
      <c r="F121">
        <v>14.7</v>
      </c>
      <c r="G121">
        <v>15.15</v>
      </c>
      <c r="H121">
        <v>14.7</v>
      </c>
      <c r="I121">
        <v>15.15</v>
      </c>
      <c r="J121">
        <v>108540</v>
      </c>
      <c r="K121">
        <v>7200</v>
      </c>
      <c r="L121" t="s">
        <v>18</v>
      </c>
      <c r="M121">
        <v>46.9</v>
      </c>
      <c r="N121">
        <v>14.25</v>
      </c>
    </row>
    <row r="122" spans="1:14" x14ac:dyDescent="0.25">
      <c r="A122" t="s">
        <v>14</v>
      </c>
      <c r="B122" t="s">
        <v>15</v>
      </c>
      <c r="C122" t="s">
        <v>273</v>
      </c>
      <c r="D122" t="s">
        <v>274</v>
      </c>
      <c r="E122">
        <v>185.75</v>
      </c>
      <c r="F122">
        <v>183.85</v>
      </c>
      <c r="G122">
        <v>195</v>
      </c>
      <c r="H122">
        <v>183.85</v>
      </c>
      <c r="I122">
        <v>193</v>
      </c>
      <c r="J122">
        <v>16790700</v>
      </c>
      <c r="K122">
        <v>88500</v>
      </c>
      <c r="L122" t="s">
        <v>18</v>
      </c>
      <c r="M122">
        <v>220</v>
      </c>
      <c r="N122">
        <v>108</v>
      </c>
    </row>
    <row r="123" spans="1:14" x14ac:dyDescent="0.25">
      <c r="A123" t="s">
        <v>14</v>
      </c>
      <c r="B123" t="s">
        <v>15</v>
      </c>
      <c r="C123" t="s">
        <v>275</v>
      </c>
      <c r="D123" t="s">
        <v>276</v>
      </c>
      <c r="E123">
        <v>132</v>
      </c>
      <c r="F123">
        <v>139</v>
      </c>
      <c r="G123">
        <v>139</v>
      </c>
      <c r="H123">
        <v>139</v>
      </c>
      <c r="I123">
        <v>139</v>
      </c>
      <c r="J123">
        <v>139000</v>
      </c>
      <c r="K123">
        <v>1000</v>
      </c>
      <c r="L123" t="s">
        <v>18</v>
      </c>
      <c r="M123">
        <v>234</v>
      </c>
      <c r="N123">
        <v>109</v>
      </c>
    </row>
    <row r="124" spans="1:14" x14ac:dyDescent="0.25">
      <c r="A124" t="s">
        <v>14</v>
      </c>
      <c r="B124" t="s">
        <v>15</v>
      </c>
      <c r="C124" t="s">
        <v>277</v>
      </c>
      <c r="D124" t="s">
        <v>278</v>
      </c>
      <c r="E124">
        <v>119.2</v>
      </c>
      <c r="F124">
        <v>117.5</v>
      </c>
      <c r="G124">
        <v>117.5</v>
      </c>
      <c r="H124">
        <v>111.3</v>
      </c>
      <c r="I124">
        <v>113.3</v>
      </c>
      <c r="J124">
        <v>2393000</v>
      </c>
      <c r="K124">
        <v>21000</v>
      </c>
      <c r="L124" t="s">
        <v>18</v>
      </c>
      <c r="M124">
        <v>164.85</v>
      </c>
      <c r="N124">
        <v>104</v>
      </c>
    </row>
    <row r="125" spans="1:14" x14ac:dyDescent="0.25">
      <c r="A125" t="s">
        <v>14</v>
      </c>
      <c r="B125" t="s">
        <v>15</v>
      </c>
      <c r="C125" t="s">
        <v>279</v>
      </c>
      <c r="D125" t="s">
        <v>280</v>
      </c>
      <c r="E125">
        <v>423.2</v>
      </c>
      <c r="F125">
        <v>423.2</v>
      </c>
      <c r="G125">
        <v>444.35</v>
      </c>
      <c r="H125">
        <v>421.2</v>
      </c>
      <c r="I125">
        <v>443.95</v>
      </c>
      <c r="J125">
        <v>15250840</v>
      </c>
      <c r="K125">
        <v>34800</v>
      </c>
      <c r="L125" t="s">
        <v>18</v>
      </c>
      <c r="M125">
        <v>790</v>
      </c>
      <c r="N125">
        <v>375.05</v>
      </c>
    </row>
    <row r="126" spans="1:14" x14ac:dyDescent="0.25">
      <c r="A126" t="s">
        <v>14</v>
      </c>
      <c r="B126" t="s">
        <v>33</v>
      </c>
      <c r="C126" t="s">
        <v>283</v>
      </c>
      <c r="D126" t="s">
        <v>284</v>
      </c>
      <c r="E126">
        <v>80</v>
      </c>
      <c r="F126">
        <v>76.5</v>
      </c>
      <c r="G126">
        <v>76.5</v>
      </c>
      <c r="H126">
        <v>76</v>
      </c>
      <c r="I126">
        <v>76</v>
      </c>
      <c r="J126">
        <v>304600</v>
      </c>
      <c r="K126">
        <v>4000</v>
      </c>
      <c r="L126" t="s">
        <v>18</v>
      </c>
      <c r="M126">
        <v>124.4</v>
      </c>
      <c r="N126">
        <v>68.849999999999994</v>
      </c>
    </row>
    <row r="127" spans="1:14" x14ac:dyDescent="0.25">
      <c r="A127" t="s">
        <v>14</v>
      </c>
      <c r="B127" t="s">
        <v>15</v>
      </c>
      <c r="C127" t="s">
        <v>289</v>
      </c>
      <c r="D127" t="s">
        <v>290</v>
      </c>
      <c r="E127">
        <v>184</v>
      </c>
      <c r="F127">
        <v>184</v>
      </c>
      <c r="G127">
        <v>185.65</v>
      </c>
      <c r="H127">
        <v>180</v>
      </c>
      <c r="I127">
        <v>182.95</v>
      </c>
      <c r="J127">
        <v>7888020</v>
      </c>
      <c r="K127">
        <v>43200</v>
      </c>
      <c r="L127" t="s">
        <v>18</v>
      </c>
      <c r="M127">
        <v>221.95</v>
      </c>
      <c r="N127">
        <v>117.2</v>
      </c>
    </row>
    <row r="128" spans="1:14" x14ac:dyDescent="0.25">
      <c r="A128" t="s">
        <v>14</v>
      </c>
      <c r="B128" t="s">
        <v>15</v>
      </c>
      <c r="C128" t="s">
        <v>291</v>
      </c>
      <c r="D128" t="s">
        <v>292</v>
      </c>
      <c r="E128">
        <v>143.35</v>
      </c>
      <c r="F128">
        <v>145.25</v>
      </c>
      <c r="G128">
        <v>150</v>
      </c>
      <c r="H128">
        <v>145.25</v>
      </c>
      <c r="I128">
        <v>149.69999999999999</v>
      </c>
      <c r="J128">
        <v>2370200</v>
      </c>
      <c r="K128">
        <v>16000</v>
      </c>
      <c r="L128" t="s">
        <v>18</v>
      </c>
      <c r="M128">
        <v>449.9</v>
      </c>
      <c r="N128">
        <v>133</v>
      </c>
    </row>
    <row r="129" spans="1:14" x14ac:dyDescent="0.25">
      <c r="A129" t="s">
        <v>14</v>
      </c>
      <c r="B129" t="s">
        <v>15</v>
      </c>
      <c r="C129" t="s">
        <v>293</v>
      </c>
      <c r="D129" t="s">
        <v>294</v>
      </c>
      <c r="E129">
        <v>9.9</v>
      </c>
      <c r="F129">
        <v>9.9499999999999993</v>
      </c>
      <c r="G129">
        <v>10.1</v>
      </c>
      <c r="H129">
        <v>9.9499999999999993</v>
      </c>
      <c r="I129">
        <v>10.1</v>
      </c>
      <c r="J129">
        <v>60150</v>
      </c>
      <c r="K129">
        <v>6000</v>
      </c>
      <c r="L129" t="s">
        <v>18</v>
      </c>
      <c r="M129">
        <v>17.5</v>
      </c>
      <c r="N129">
        <v>9</v>
      </c>
    </row>
    <row r="130" spans="1:14" x14ac:dyDescent="0.25">
      <c r="A130" t="s">
        <v>14</v>
      </c>
      <c r="B130" t="s">
        <v>33</v>
      </c>
      <c r="C130" t="s">
        <v>295</v>
      </c>
      <c r="D130" t="s">
        <v>296</v>
      </c>
      <c r="E130">
        <v>17.600000000000001</v>
      </c>
      <c r="F130">
        <v>17.600000000000001</v>
      </c>
      <c r="G130">
        <v>18.45</v>
      </c>
      <c r="H130">
        <v>17.600000000000001</v>
      </c>
      <c r="I130">
        <v>17.899999999999999</v>
      </c>
      <c r="J130">
        <v>536500</v>
      </c>
      <c r="K130">
        <v>30000</v>
      </c>
      <c r="L130" t="s">
        <v>18</v>
      </c>
      <c r="M130">
        <v>54</v>
      </c>
      <c r="N130">
        <v>17.5</v>
      </c>
    </row>
    <row r="131" spans="1:14" x14ac:dyDescent="0.25">
      <c r="A131" t="s">
        <v>14</v>
      </c>
      <c r="B131" t="s">
        <v>15</v>
      </c>
      <c r="C131" t="s">
        <v>297</v>
      </c>
      <c r="D131" t="s">
        <v>298</v>
      </c>
      <c r="E131">
        <v>234.35</v>
      </c>
      <c r="F131">
        <v>226.45</v>
      </c>
      <c r="G131">
        <v>232.9</v>
      </c>
      <c r="H131">
        <v>221.05</v>
      </c>
      <c r="I131">
        <v>231.7</v>
      </c>
      <c r="J131">
        <v>6233130</v>
      </c>
      <c r="K131">
        <v>27300</v>
      </c>
      <c r="L131" t="s">
        <v>18</v>
      </c>
      <c r="M131">
        <v>555</v>
      </c>
      <c r="N131">
        <v>221.05</v>
      </c>
    </row>
    <row r="132" spans="1:14" x14ac:dyDescent="0.25">
      <c r="A132" t="s">
        <v>14</v>
      </c>
      <c r="B132" t="s">
        <v>15</v>
      </c>
      <c r="C132" t="s">
        <v>299</v>
      </c>
      <c r="D132" t="s">
        <v>300</v>
      </c>
      <c r="E132">
        <v>103.2</v>
      </c>
      <c r="F132">
        <v>108.35</v>
      </c>
      <c r="G132">
        <v>108.35</v>
      </c>
      <c r="H132">
        <v>108.35</v>
      </c>
      <c r="I132">
        <v>108.35</v>
      </c>
      <c r="J132">
        <v>1906960</v>
      </c>
      <c r="K132">
        <v>17600</v>
      </c>
      <c r="L132" t="s">
        <v>18</v>
      </c>
      <c r="M132">
        <v>279.8</v>
      </c>
      <c r="N132">
        <v>83.4</v>
      </c>
    </row>
    <row r="133" spans="1:14" x14ac:dyDescent="0.25">
      <c r="A133" t="s">
        <v>14</v>
      </c>
      <c r="B133" t="s">
        <v>15</v>
      </c>
      <c r="C133" t="s">
        <v>301</v>
      </c>
      <c r="D133" t="s">
        <v>302</v>
      </c>
      <c r="E133">
        <v>18.45</v>
      </c>
      <c r="F133">
        <v>18.399999999999999</v>
      </c>
      <c r="G133">
        <v>18.600000000000001</v>
      </c>
      <c r="H133">
        <v>18.2</v>
      </c>
      <c r="I133">
        <v>18.2</v>
      </c>
      <c r="J133">
        <v>498000</v>
      </c>
      <c r="K133">
        <v>27000</v>
      </c>
      <c r="L133" t="s">
        <v>18</v>
      </c>
      <c r="M133">
        <v>59</v>
      </c>
      <c r="N133">
        <v>18.2</v>
      </c>
    </row>
    <row r="134" spans="1:14" x14ac:dyDescent="0.25">
      <c r="A134" t="s">
        <v>14</v>
      </c>
      <c r="B134" t="s">
        <v>15</v>
      </c>
      <c r="C134" t="s">
        <v>303</v>
      </c>
      <c r="D134" t="s">
        <v>304</v>
      </c>
      <c r="E134">
        <v>355.2</v>
      </c>
      <c r="F134">
        <v>359</v>
      </c>
      <c r="G134">
        <v>371.9</v>
      </c>
      <c r="H134">
        <v>359</v>
      </c>
      <c r="I134">
        <v>371</v>
      </c>
      <c r="J134">
        <v>461225</v>
      </c>
      <c r="K134">
        <v>1250</v>
      </c>
      <c r="L134" t="s">
        <v>18</v>
      </c>
      <c r="M134">
        <v>525.25</v>
      </c>
      <c r="N134">
        <v>306.64999999999998</v>
      </c>
    </row>
    <row r="135" spans="1:14" x14ac:dyDescent="0.25">
      <c r="A135" t="s">
        <v>14</v>
      </c>
      <c r="B135" t="s">
        <v>15</v>
      </c>
      <c r="C135" t="s">
        <v>305</v>
      </c>
      <c r="D135" t="s">
        <v>306</v>
      </c>
      <c r="E135">
        <v>115</v>
      </c>
      <c r="F135">
        <v>119.9</v>
      </c>
      <c r="G135">
        <v>119.9</v>
      </c>
      <c r="H135">
        <v>119.9</v>
      </c>
      <c r="I135">
        <v>119.9</v>
      </c>
      <c r="J135">
        <v>89925</v>
      </c>
      <c r="K135">
        <v>750</v>
      </c>
      <c r="L135" t="s">
        <v>18</v>
      </c>
      <c r="M135">
        <v>159.69999999999999</v>
      </c>
      <c r="N135">
        <v>93.1</v>
      </c>
    </row>
    <row r="136" spans="1:14" x14ac:dyDescent="0.25">
      <c r="A136" t="s">
        <v>14</v>
      </c>
      <c r="B136" t="s">
        <v>33</v>
      </c>
      <c r="C136" t="s">
        <v>307</v>
      </c>
      <c r="D136" t="s">
        <v>308</v>
      </c>
      <c r="E136">
        <v>44.05</v>
      </c>
      <c r="F136">
        <v>44.05</v>
      </c>
      <c r="G136">
        <v>44.4</v>
      </c>
      <c r="H136">
        <v>43</v>
      </c>
      <c r="I136">
        <v>44.1</v>
      </c>
      <c r="J136">
        <v>6958650</v>
      </c>
      <c r="K136">
        <v>159000</v>
      </c>
      <c r="L136" t="s">
        <v>18</v>
      </c>
      <c r="M136">
        <v>179</v>
      </c>
      <c r="N136">
        <v>40</v>
      </c>
    </row>
    <row r="137" spans="1:14" x14ac:dyDescent="0.25">
      <c r="A137" t="s">
        <v>14</v>
      </c>
      <c r="B137" t="s">
        <v>33</v>
      </c>
      <c r="C137" t="s">
        <v>309</v>
      </c>
      <c r="D137" t="s">
        <v>310</v>
      </c>
      <c r="E137">
        <v>16.8</v>
      </c>
      <c r="F137">
        <v>17.600000000000001</v>
      </c>
      <c r="G137">
        <v>17.600000000000001</v>
      </c>
      <c r="H137">
        <v>17.600000000000001</v>
      </c>
      <c r="I137">
        <v>17.600000000000001</v>
      </c>
      <c r="J137">
        <v>123200</v>
      </c>
      <c r="K137">
        <v>7000</v>
      </c>
      <c r="L137" t="s">
        <v>18</v>
      </c>
      <c r="M137">
        <v>31.75</v>
      </c>
      <c r="N137">
        <v>5.95</v>
      </c>
    </row>
    <row r="138" spans="1:14" x14ac:dyDescent="0.25">
      <c r="A138" t="s">
        <v>14</v>
      </c>
      <c r="B138" t="s">
        <v>15</v>
      </c>
      <c r="C138" t="s">
        <v>959</v>
      </c>
      <c r="D138" t="s">
        <v>960</v>
      </c>
      <c r="E138">
        <v>285</v>
      </c>
      <c r="F138">
        <v>275</v>
      </c>
      <c r="G138">
        <v>275</v>
      </c>
      <c r="H138">
        <v>275</v>
      </c>
      <c r="I138">
        <v>275</v>
      </c>
      <c r="J138">
        <v>171875</v>
      </c>
      <c r="K138">
        <v>625</v>
      </c>
      <c r="L138" t="s">
        <v>18</v>
      </c>
      <c r="M138">
        <v>285</v>
      </c>
      <c r="N138">
        <v>200.05</v>
      </c>
    </row>
    <row r="139" spans="1:14" x14ac:dyDescent="0.25">
      <c r="A139" t="s">
        <v>14</v>
      </c>
      <c r="B139" t="s">
        <v>15</v>
      </c>
      <c r="C139" t="s">
        <v>311</v>
      </c>
      <c r="D139" t="s">
        <v>312</v>
      </c>
      <c r="E139">
        <v>4.5</v>
      </c>
      <c r="F139">
        <v>4.5</v>
      </c>
      <c r="G139">
        <v>4.7</v>
      </c>
      <c r="H139">
        <v>4.5</v>
      </c>
      <c r="I139">
        <v>4.7</v>
      </c>
      <c r="J139">
        <v>103500</v>
      </c>
      <c r="K139">
        <v>22500</v>
      </c>
      <c r="L139" t="s">
        <v>18</v>
      </c>
      <c r="M139">
        <v>13.5</v>
      </c>
      <c r="N139">
        <v>4.5</v>
      </c>
    </row>
    <row r="140" spans="1:14" x14ac:dyDescent="0.25">
      <c r="A140" t="s">
        <v>14</v>
      </c>
      <c r="B140" t="s">
        <v>15</v>
      </c>
      <c r="C140" t="s">
        <v>313</v>
      </c>
      <c r="D140" t="s">
        <v>314</v>
      </c>
      <c r="E140">
        <v>144</v>
      </c>
      <c r="F140">
        <v>141.5</v>
      </c>
      <c r="G140">
        <v>141.5</v>
      </c>
      <c r="H140">
        <v>141</v>
      </c>
      <c r="I140">
        <v>141.05000000000001</v>
      </c>
      <c r="J140">
        <v>338760</v>
      </c>
      <c r="K140">
        <v>2400</v>
      </c>
      <c r="L140" t="s">
        <v>18</v>
      </c>
      <c r="M140">
        <v>204</v>
      </c>
      <c r="N140">
        <v>124.5</v>
      </c>
    </row>
    <row r="141" spans="1:14" x14ac:dyDescent="0.25">
      <c r="A141" t="s">
        <v>14</v>
      </c>
      <c r="B141" t="s">
        <v>15</v>
      </c>
      <c r="C141" t="s">
        <v>315</v>
      </c>
      <c r="D141" t="s">
        <v>316</v>
      </c>
      <c r="E141">
        <v>325</v>
      </c>
      <c r="F141">
        <v>319</v>
      </c>
      <c r="G141">
        <v>324</v>
      </c>
      <c r="H141">
        <v>318</v>
      </c>
      <c r="I141">
        <v>319.45</v>
      </c>
      <c r="J141">
        <v>10102520</v>
      </c>
      <c r="K141">
        <v>31600</v>
      </c>
      <c r="L141" t="s">
        <v>18</v>
      </c>
      <c r="M141">
        <v>616.5</v>
      </c>
      <c r="N141">
        <v>230</v>
      </c>
    </row>
    <row r="142" spans="1:14" x14ac:dyDescent="0.25">
      <c r="A142" t="s">
        <v>14</v>
      </c>
      <c r="B142" t="s">
        <v>15</v>
      </c>
      <c r="C142" t="s">
        <v>317</v>
      </c>
      <c r="D142" t="s">
        <v>318</v>
      </c>
      <c r="E142">
        <v>138.25</v>
      </c>
      <c r="F142">
        <v>134</v>
      </c>
      <c r="G142">
        <v>135</v>
      </c>
      <c r="H142">
        <v>131.05000000000001</v>
      </c>
      <c r="I142">
        <v>134.94999999999999</v>
      </c>
      <c r="J142">
        <v>2306040</v>
      </c>
      <c r="K142">
        <v>17400</v>
      </c>
      <c r="L142" t="s">
        <v>18</v>
      </c>
      <c r="M142">
        <v>255</v>
      </c>
      <c r="N142">
        <v>101.9</v>
      </c>
    </row>
    <row r="143" spans="1:14" x14ac:dyDescent="0.25">
      <c r="A143" t="s">
        <v>14</v>
      </c>
      <c r="B143" t="s">
        <v>15</v>
      </c>
      <c r="C143" t="s">
        <v>319</v>
      </c>
      <c r="D143" t="s">
        <v>320</v>
      </c>
      <c r="E143">
        <v>47.85</v>
      </c>
      <c r="F143">
        <v>47.5</v>
      </c>
      <c r="G143">
        <v>48.2</v>
      </c>
      <c r="H143">
        <v>45.5</v>
      </c>
      <c r="I143">
        <v>47.95</v>
      </c>
      <c r="J143">
        <v>4811160</v>
      </c>
      <c r="K143">
        <v>103200</v>
      </c>
      <c r="L143" t="s">
        <v>18</v>
      </c>
      <c r="M143">
        <v>58.2</v>
      </c>
      <c r="N143">
        <v>30.4</v>
      </c>
    </row>
    <row r="144" spans="1:14" x14ac:dyDescent="0.25">
      <c r="A144" t="s">
        <v>14</v>
      </c>
      <c r="B144" t="s">
        <v>15</v>
      </c>
      <c r="C144" t="s">
        <v>321</v>
      </c>
      <c r="D144" t="s">
        <v>322</v>
      </c>
      <c r="E144">
        <v>44.65</v>
      </c>
      <c r="F144">
        <v>45.8</v>
      </c>
      <c r="G144">
        <v>48</v>
      </c>
      <c r="H144">
        <v>44.6</v>
      </c>
      <c r="I144">
        <v>44.6</v>
      </c>
      <c r="J144">
        <v>552720</v>
      </c>
      <c r="K144">
        <v>12000</v>
      </c>
      <c r="L144" t="s">
        <v>18</v>
      </c>
      <c r="M144">
        <v>80</v>
      </c>
      <c r="N144">
        <v>44</v>
      </c>
    </row>
    <row r="145" spans="1:14" x14ac:dyDescent="0.25">
      <c r="A145" t="s">
        <v>14</v>
      </c>
      <c r="B145" t="s">
        <v>15</v>
      </c>
      <c r="C145" t="s">
        <v>323</v>
      </c>
      <c r="D145" t="s">
        <v>324</v>
      </c>
      <c r="E145">
        <v>139</v>
      </c>
      <c r="F145">
        <v>137.9</v>
      </c>
      <c r="G145">
        <v>141.69999999999999</v>
      </c>
      <c r="H145">
        <v>135</v>
      </c>
      <c r="I145">
        <v>138.69999999999999</v>
      </c>
      <c r="J145">
        <v>1918050</v>
      </c>
      <c r="K145">
        <v>14000</v>
      </c>
      <c r="L145" t="s">
        <v>18</v>
      </c>
      <c r="M145">
        <v>185.9</v>
      </c>
      <c r="N145">
        <v>111</v>
      </c>
    </row>
    <row r="146" spans="1:14" x14ac:dyDescent="0.25">
      <c r="A146" t="s">
        <v>14</v>
      </c>
      <c r="B146" t="s">
        <v>15</v>
      </c>
      <c r="C146" t="s">
        <v>329</v>
      </c>
      <c r="D146" t="s">
        <v>330</v>
      </c>
      <c r="E146">
        <v>200.65</v>
      </c>
      <c r="F146">
        <v>200.9</v>
      </c>
      <c r="G146">
        <v>201.1</v>
      </c>
      <c r="H146">
        <v>199</v>
      </c>
      <c r="I146">
        <v>199.95</v>
      </c>
      <c r="J146">
        <v>2307100</v>
      </c>
      <c r="K146">
        <v>11500</v>
      </c>
      <c r="L146" t="s">
        <v>18</v>
      </c>
      <c r="M146">
        <v>255.15</v>
      </c>
      <c r="N146">
        <v>110.7</v>
      </c>
    </row>
    <row r="147" spans="1:14" x14ac:dyDescent="0.25">
      <c r="A147" t="s">
        <v>14</v>
      </c>
      <c r="B147" t="s">
        <v>15</v>
      </c>
      <c r="C147" t="s">
        <v>331</v>
      </c>
      <c r="D147" t="s">
        <v>332</v>
      </c>
      <c r="E147">
        <v>30.05</v>
      </c>
      <c r="F147">
        <v>30</v>
      </c>
      <c r="G147">
        <v>30.05</v>
      </c>
      <c r="H147">
        <v>30</v>
      </c>
      <c r="I147">
        <v>30</v>
      </c>
      <c r="J147">
        <v>384160</v>
      </c>
      <c r="K147">
        <v>12800</v>
      </c>
      <c r="L147" t="s">
        <v>18</v>
      </c>
      <c r="M147">
        <v>60</v>
      </c>
      <c r="N147">
        <v>27</v>
      </c>
    </row>
    <row r="148" spans="1:14" x14ac:dyDescent="0.25">
      <c r="A148" t="s">
        <v>14</v>
      </c>
      <c r="B148" t="s">
        <v>15</v>
      </c>
      <c r="C148" t="s">
        <v>335</v>
      </c>
      <c r="D148" t="s">
        <v>336</v>
      </c>
      <c r="E148">
        <v>140.6</v>
      </c>
      <c r="F148">
        <v>141</v>
      </c>
      <c r="G148">
        <v>146.65</v>
      </c>
      <c r="H148">
        <v>141</v>
      </c>
      <c r="I148">
        <v>144.69999999999999</v>
      </c>
      <c r="J148">
        <v>1386000</v>
      </c>
      <c r="K148">
        <v>9600</v>
      </c>
      <c r="L148" t="s">
        <v>18</v>
      </c>
      <c r="M148">
        <v>320.89999999999998</v>
      </c>
      <c r="N148">
        <v>125</v>
      </c>
    </row>
    <row r="149" spans="1:14" x14ac:dyDescent="0.25">
      <c r="A149" t="s">
        <v>14</v>
      </c>
      <c r="B149" t="s">
        <v>33</v>
      </c>
      <c r="C149" t="s">
        <v>337</v>
      </c>
      <c r="D149" t="s">
        <v>338</v>
      </c>
      <c r="E149">
        <v>302.5</v>
      </c>
      <c r="F149">
        <v>314</v>
      </c>
      <c r="G149">
        <v>315</v>
      </c>
      <c r="H149">
        <v>314</v>
      </c>
      <c r="I149">
        <v>315</v>
      </c>
      <c r="J149">
        <v>471750</v>
      </c>
      <c r="K149">
        <v>1500</v>
      </c>
      <c r="L149" t="s">
        <v>18</v>
      </c>
      <c r="M149">
        <v>380</v>
      </c>
      <c r="N149">
        <v>112</v>
      </c>
    </row>
    <row r="150" spans="1:14" x14ac:dyDescent="0.25">
      <c r="A150" t="s">
        <v>14</v>
      </c>
      <c r="B150" t="s">
        <v>15</v>
      </c>
      <c r="C150" t="s">
        <v>961</v>
      </c>
      <c r="D150" t="s">
        <v>962</v>
      </c>
      <c r="E150">
        <v>89</v>
      </c>
      <c r="F150">
        <v>93</v>
      </c>
      <c r="G150">
        <v>93.45</v>
      </c>
      <c r="H150">
        <v>93</v>
      </c>
      <c r="I150">
        <v>93.45</v>
      </c>
      <c r="J150">
        <v>209925</v>
      </c>
      <c r="K150">
        <v>2250</v>
      </c>
      <c r="L150" t="s">
        <v>18</v>
      </c>
      <c r="M150">
        <v>181.65</v>
      </c>
      <c r="N150">
        <v>86.15</v>
      </c>
    </row>
    <row r="151" spans="1:14" x14ac:dyDescent="0.25">
      <c r="A151" t="s">
        <v>14</v>
      </c>
      <c r="B151" t="s">
        <v>15</v>
      </c>
      <c r="C151" t="s">
        <v>339</v>
      </c>
      <c r="D151" t="s">
        <v>340</v>
      </c>
      <c r="E151">
        <v>162.44999999999999</v>
      </c>
      <c r="F151">
        <v>155</v>
      </c>
      <c r="G151">
        <v>165</v>
      </c>
      <c r="H151">
        <v>155</v>
      </c>
      <c r="I151">
        <v>162.1</v>
      </c>
      <c r="J151">
        <v>715470</v>
      </c>
      <c r="K151">
        <v>4500</v>
      </c>
      <c r="L151" t="s">
        <v>18</v>
      </c>
      <c r="M151">
        <v>508</v>
      </c>
      <c r="N151">
        <v>155</v>
      </c>
    </row>
    <row r="152" spans="1:14" x14ac:dyDescent="0.25">
      <c r="A152" t="s">
        <v>14</v>
      </c>
      <c r="B152" t="s">
        <v>15</v>
      </c>
      <c r="C152" t="s">
        <v>341</v>
      </c>
      <c r="D152" t="s">
        <v>342</v>
      </c>
      <c r="E152">
        <v>267</v>
      </c>
      <c r="F152">
        <v>267</v>
      </c>
      <c r="G152">
        <v>267</v>
      </c>
      <c r="H152">
        <v>265</v>
      </c>
      <c r="I152">
        <v>265</v>
      </c>
      <c r="J152">
        <v>319200</v>
      </c>
      <c r="K152">
        <v>1200</v>
      </c>
      <c r="L152" t="s">
        <v>18</v>
      </c>
      <c r="M152">
        <v>327.39999999999998</v>
      </c>
      <c r="N152">
        <v>101.05</v>
      </c>
    </row>
    <row r="153" spans="1:14" x14ac:dyDescent="0.25">
      <c r="A153" t="s">
        <v>14</v>
      </c>
      <c r="B153" t="s">
        <v>15</v>
      </c>
      <c r="C153" t="s">
        <v>343</v>
      </c>
      <c r="D153" t="s">
        <v>344</v>
      </c>
      <c r="E153">
        <v>31.2</v>
      </c>
      <c r="F153">
        <v>29.7</v>
      </c>
      <c r="G153">
        <v>31</v>
      </c>
      <c r="H153">
        <v>29.7</v>
      </c>
      <c r="I153">
        <v>30</v>
      </c>
      <c r="J153">
        <v>226800</v>
      </c>
      <c r="K153">
        <v>7500</v>
      </c>
      <c r="L153" t="s">
        <v>18</v>
      </c>
      <c r="M153">
        <v>87.15</v>
      </c>
      <c r="N153">
        <v>25.3</v>
      </c>
    </row>
    <row r="154" spans="1:14" x14ac:dyDescent="0.25">
      <c r="A154" t="s">
        <v>14</v>
      </c>
      <c r="B154" t="s">
        <v>15</v>
      </c>
      <c r="C154" t="s">
        <v>963</v>
      </c>
      <c r="D154" t="s">
        <v>964</v>
      </c>
      <c r="E154">
        <v>49</v>
      </c>
      <c r="F154">
        <v>48.35</v>
      </c>
      <c r="G154">
        <v>50</v>
      </c>
      <c r="H154">
        <v>48</v>
      </c>
      <c r="I154">
        <v>48.1</v>
      </c>
      <c r="J154">
        <v>678700</v>
      </c>
      <c r="K154">
        <v>14000</v>
      </c>
      <c r="L154" t="s">
        <v>18</v>
      </c>
      <c r="M154">
        <v>74</v>
      </c>
      <c r="N154">
        <v>45.45</v>
      </c>
    </row>
    <row r="155" spans="1:14" x14ac:dyDescent="0.25">
      <c r="A155" t="s">
        <v>14</v>
      </c>
      <c r="B155" t="s">
        <v>15</v>
      </c>
      <c r="C155" t="s">
        <v>345</v>
      </c>
      <c r="D155" t="s">
        <v>346</v>
      </c>
      <c r="E155">
        <v>199</v>
      </c>
      <c r="F155">
        <v>192</v>
      </c>
      <c r="G155">
        <v>192</v>
      </c>
      <c r="H155">
        <v>190</v>
      </c>
      <c r="I155">
        <v>190</v>
      </c>
      <c r="J155">
        <v>4688575</v>
      </c>
      <c r="K155">
        <v>24500</v>
      </c>
      <c r="L155" t="s">
        <v>18</v>
      </c>
      <c r="M155">
        <v>221</v>
      </c>
      <c r="N155">
        <v>119.2</v>
      </c>
    </row>
    <row r="156" spans="1:14" x14ac:dyDescent="0.25">
      <c r="A156" t="s">
        <v>14</v>
      </c>
      <c r="B156" t="s">
        <v>15</v>
      </c>
      <c r="C156" t="s">
        <v>347</v>
      </c>
      <c r="D156" t="s">
        <v>348</v>
      </c>
      <c r="E156">
        <v>18.149999999999999</v>
      </c>
      <c r="F156">
        <v>19</v>
      </c>
      <c r="G156">
        <v>19</v>
      </c>
      <c r="H156">
        <v>18.3</v>
      </c>
      <c r="I156">
        <v>18.3</v>
      </c>
      <c r="J156">
        <v>188200</v>
      </c>
      <c r="K156">
        <v>10000</v>
      </c>
      <c r="L156" t="s">
        <v>18</v>
      </c>
      <c r="M156">
        <v>56.65</v>
      </c>
      <c r="N156">
        <v>17.05</v>
      </c>
    </row>
    <row r="157" spans="1:14" x14ac:dyDescent="0.25">
      <c r="A157" t="s">
        <v>14</v>
      </c>
      <c r="B157" t="s">
        <v>15</v>
      </c>
      <c r="C157" t="s">
        <v>349</v>
      </c>
      <c r="D157" t="s">
        <v>350</v>
      </c>
      <c r="E157">
        <v>74.8</v>
      </c>
      <c r="F157">
        <v>75.849999999999994</v>
      </c>
      <c r="G157">
        <v>76.95</v>
      </c>
      <c r="H157">
        <v>74.8</v>
      </c>
      <c r="I157">
        <v>76.3</v>
      </c>
      <c r="J157">
        <v>2002825</v>
      </c>
      <c r="K157">
        <v>26500</v>
      </c>
      <c r="L157" t="s">
        <v>18</v>
      </c>
      <c r="M157">
        <v>211.95</v>
      </c>
      <c r="N157">
        <v>72.55</v>
      </c>
    </row>
    <row r="158" spans="1:14" x14ac:dyDescent="0.25">
      <c r="A158" t="s">
        <v>14</v>
      </c>
      <c r="B158" t="s">
        <v>15</v>
      </c>
      <c r="C158" t="s">
        <v>351</v>
      </c>
      <c r="D158" t="s">
        <v>352</v>
      </c>
      <c r="E158">
        <v>58</v>
      </c>
      <c r="F158">
        <v>54.45</v>
      </c>
      <c r="G158">
        <v>56</v>
      </c>
      <c r="H158">
        <v>54.45</v>
      </c>
      <c r="I158">
        <v>55.95</v>
      </c>
      <c r="J158">
        <v>1193280</v>
      </c>
      <c r="K158">
        <v>21600</v>
      </c>
      <c r="L158" t="s">
        <v>18</v>
      </c>
      <c r="M158">
        <v>78.25</v>
      </c>
      <c r="N158">
        <v>42.4</v>
      </c>
    </row>
    <row r="159" spans="1:14" x14ac:dyDescent="0.25">
      <c r="A159" t="s">
        <v>14</v>
      </c>
      <c r="B159" t="s">
        <v>15</v>
      </c>
      <c r="C159" t="s">
        <v>353</v>
      </c>
      <c r="D159" t="s">
        <v>354</v>
      </c>
      <c r="E159">
        <v>216.3</v>
      </c>
      <c r="F159">
        <v>216.3</v>
      </c>
      <c r="G159">
        <v>221</v>
      </c>
      <c r="H159">
        <v>216.3</v>
      </c>
      <c r="I159">
        <v>218</v>
      </c>
      <c r="J159">
        <v>548025</v>
      </c>
      <c r="K159">
        <v>2500</v>
      </c>
      <c r="L159" t="s">
        <v>18</v>
      </c>
      <c r="M159">
        <v>337</v>
      </c>
      <c r="N159">
        <v>210</v>
      </c>
    </row>
    <row r="160" spans="1:14" x14ac:dyDescent="0.25">
      <c r="A160" t="s">
        <v>14</v>
      </c>
      <c r="B160" t="s">
        <v>15</v>
      </c>
      <c r="C160" t="s">
        <v>355</v>
      </c>
      <c r="D160" t="s">
        <v>356</v>
      </c>
      <c r="E160">
        <v>217.05</v>
      </c>
      <c r="F160">
        <v>220</v>
      </c>
      <c r="G160">
        <v>220</v>
      </c>
      <c r="H160">
        <v>213.3</v>
      </c>
      <c r="I160">
        <v>214.2</v>
      </c>
      <c r="J160">
        <v>3130590</v>
      </c>
      <c r="K160">
        <v>14400</v>
      </c>
      <c r="L160" t="s">
        <v>18</v>
      </c>
      <c r="M160">
        <v>261.95</v>
      </c>
      <c r="N160">
        <v>120</v>
      </c>
    </row>
    <row r="161" spans="1:14" x14ac:dyDescent="0.25">
      <c r="A161" t="s">
        <v>14</v>
      </c>
      <c r="B161" t="s">
        <v>15</v>
      </c>
      <c r="C161" t="s">
        <v>357</v>
      </c>
      <c r="D161" t="s">
        <v>358</v>
      </c>
      <c r="E161">
        <v>356.3</v>
      </c>
      <c r="F161">
        <v>355</v>
      </c>
      <c r="G161">
        <v>361.5</v>
      </c>
      <c r="H161">
        <v>353</v>
      </c>
      <c r="I161">
        <v>361.5</v>
      </c>
      <c r="J161">
        <v>427800</v>
      </c>
      <c r="K161">
        <v>1200</v>
      </c>
      <c r="L161" t="s">
        <v>18</v>
      </c>
      <c r="M161">
        <v>575</v>
      </c>
      <c r="N161">
        <v>325.5</v>
      </c>
    </row>
    <row r="162" spans="1:14" x14ac:dyDescent="0.25">
      <c r="A162" t="s">
        <v>14</v>
      </c>
      <c r="B162" t="s">
        <v>15</v>
      </c>
      <c r="C162" t="s">
        <v>359</v>
      </c>
      <c r="D162" t="s">
        <v>360</v>
      </c>
      <c r="E162">
        <v>78</v>
      </c>
      <c r="F162">
        <v>78</v>
      </c>
      <c r="G162">
        <v>78</v>
      </c>
      <c r="H162">
        <v>76</v>
      </c>
      <c r="I162">
        <v>78</v>
      </c>
      <c r="J162">
        <v>231600</v>
      </c>
      <c r="K162">
        <v>3000</v>
      </c>
      <c r="L162" t="s">
        <v>18</v>
      </c>
      <c r="M162">
        <v>216</v>
      </c>
      <c r="N162">
        <v>75.099999999999994</v>
      </c>
    </row>
    <row r="163" spans="1:14" x14ac:dyDescent="0.25">
      <c r="A163" t="s">
        <v>14</v>
      </c>
      <c r="B163" t="s">
        <v>33</v>
      </c>
      <c r="C163" t="s">
        <v>361</v>
      </c>
      <c r="D163" t="s">
        <v>362</v>
      </c>
      <c r="E163">
        <v>80.2</v>
      </c>
      <c r="F163">
        <v>80.2</v>
      </c>
      <c r="G163">
        <v>81.8</v>
      </c>
      <c r="H163">
        <v>78.599999999999994</v>
      </c>
      <c r="I163">
        <v>78.599999999999994</v>
      </c>
      <c r="J163">
        <v>58584.75</v>
      </c>
      <c r="K163">
        <v>735</v>
      </c>
      <c r="L163" t="s">
        <v>18</v>
      </c>
      <c r="M163">
        <v>152.4</v>
      </c>
      <c r="N163">
        <v>27.7</v>
      </c>
    </row>
    <row r="164" spans="1:14" x14ac:dyDescent="0.25">
      <c r="A164" t="s">
        <v>14</v>
      </c>
      <c r="B164" t="s">
        <v>15</v>
      </c>
      <c r="C164" t="s">
        <v>363</v>
      </c>
      <c r="D164" t="s">
        <v>364</v>
      </c>
      <c r="E164">
        <v>10.3</v>
      </c>
      <c r="F164">
        <v>10.050000000000001</v>
      </c>
      <c r="G164">
        <v>10.45</v>
      </c>
      <c r="H164">
        <v>10.050000000000001</v>
      </c>
      <c r="I164">
        <v>10.45</v>
      </c>
      <c r="J164">
        <v>61900</v>
      </c>
      <c r="K164">
        <v>6000</v>
      </c>
      <c r="L164" t="s">
        <v>18</v>
      </c>
      <c r="M164">
        <v>28.25</v>
      </c>
      <c r="N164">
        <v>9.5</v>
      </c>
    </row>
    <row r="165" spans="1:14" x14ac:dyDescent="0.25">
      <c r="A165" t="s">
        <v>14</v>
      </c>
      <c r="B165" t="s">
        <v>15</v>
      </c>
      <c r="C165" t="s">
        <v>365</v>
      </c>
      <c r="D165" t="s">
        <v>366</v>
      </c>
      <c r="E165">
        <v>279</v>
      </c>
      <c r="F165">
        <v>260.05</v>
      </c>
      <c r="G165">
        <v>260.05</v>
      </c>
      <c r="H165">
        <v>260</v>
      </c>
      <c r="I165">
        <v>260</v>
      </c>
      <c r="J165">
        <v>260025</v>
      </c>
      <c r="K165">
        <v>1000</v>
      </c>
      <c r="L165" t="s">
        <v>18</v>
      </c>
      <c r="M165">
        <v>398</v>
      </c>
      <c r="N165">
        <v>240.05</v>
      </c>
    </row>
    <row r="166" spans="1:14" x14ac:dyDescent="0.25">
      <c r="A166" t="s">
        <v>14</v>
      </c>
      <c r="B166" t="s">
        <v>15</v>
      </c>
      <c r="C166" t="s">
        <v>367</v>
      </c>
      <c r="D166" t="s">
        <v>368</v>
      </c>
      <c r="E166">
        <v>194.45</v>
      </c>
      <c r="F166">
        <v>194.45</v>
      </c>
      <c r="G166">
        <v>200</v>
      </c>
      <c r="H166">
        <v>194.45</v>
      </c>
      <c r="I166">
        <v>195.95</v>
      </c>
      <c r="J166">
        <v>704580</v>
      </c>
      <c r="K166">
        <v>3600</v>
      </c>
      <c r="L166" t="s">
        <v>18</v>
      </c>
      <c r="M166">
        <v>689</v>
      </c>
      <c r="N166">
        <v>182.6</v>
      </c>
    </row>
    <row r="167" spans="1:14" x14ac:dyDescent="0.25">
      <c r="A167" t="s">
        <v>14</v>
      </c>
      <c r="B167" t="s">
        <v>15</v>
      </c>
      <c r="C167" t="s">
        <v>369</v>
      </c>
      <c r="D167" t="s">
        <v>370</v>
      </c>
      <c r="E167">
        <v>64.45</v>
      </c>
      <c r="F167">
        <v>65</v>
      </c>
      <c r="G167">
        <v>65</v>
      </c>
      <c r="H167">
        <v>64.5</v>
      </c>
      <c r="I167">
        <v>64.5</v>
      </c>
      <c r="J167">
        <v>310400</v>
      </c>
      <c r="K167">
        <v>4800</v>
      </c>
      <c r="L167" t="s">
        <v>18</v>
      </c>
      <c r="M167">
        <v>105</v>
      </c>
      <c r="N167">
        <v>60.6</v>
      </c>
    </row>
    <row r="168" spans="1:14" x14ac:dyDescent="0.25">
      <c r="A168" t="s">
        <v>14</v>
      </c>
      <c r="B168" t="s">
        <v>15</v>
      </c>
      <c r="C168" t="s">
        <v>371</v>
      </c>
      <c r="D168" t="s">
        <v>372</v>
      </c>
      <c r="E168">
        <v>0.65</v>
      </c>
      <c r="F168">
        <v>0.65</v>
      </c>
      <c r="G168">
        <v>0.65</v>
      </c>
      <c r="H168">
        <v>0.65</v>
      </c>
      <c r="I168">
        <v>0.65</v>
      </c>
      <c r="J168">
        <v>31200</v>
      </c>
      <c r="K168">
        <v>48000</v>
      </c>
      <c r="L168" t="s">
        <v>18</v>
      </c>
      <c r="M168">
        <v>1.8</v>
      </c>
      <c r="N168">
        <v>0.65</v>
      </c>
    </row>
    <row r="169" spans="1:14" x14ac:dyDescent="0.25">
      <c r="A169" t="s">
        <v>14</v>
      </c>
      <c r="B169" t="s">
        <v>15</v>
      </c>
      <c r="C169" t="s">
        <v>373</v>
      </c>
      <c r="D169" t="s">
        <v>374</v>
      </c>
      <c r="E169">
        <v>24.1</v>
      </c>
      <c r="F169">
        <v>25.95</v>
      </c>
      <c r="G169">
        <v>26.7</v>
      </c>
      <c r="H169">
        <v>25.95</v>
      </c>
      <c r="I169">
        <v>26.7</v>
      </c>
      <c r="J169">
        <v>264600</v>
      </c>
      <c r="K169">
        <v>10000</v>
      </c>
      <c r="L169" t="s">
        <v>18</v>
      </c>
      <c r="M169">
        <v>42.3</v>
      </c>
      <c r="N169">
        <v>24.05</v>
      </c>
    </row>
    <row r="170" spans="1:14" x14ac:dyDescent="0.25">
      <c r="A170" t="s">
        <v>14</v>
      </c>
      <c r="B170" t="s">
        <v>33</v>
      </c>
      <c r="C170" t="s">
        <v>375</v>
      </c>
      <c r="D170" t="s">
        <v>376</v>
      </c>
      <c r="E170">
        <v>201.9</v>
      </c>
      <c r="F170">
        <v>198</v>
      </c>
      <c r="G170">
        <v>198</v>
      </c>
      <c r="H170">
        <v>196.1</v>
      </c>
      <c r="I170">
        <v>196.1</v>
      </c>
      <c r="J170">
        <v>1650480</v>
      </c>
      <c r="K170">
        <v>8400</v>
      </c>
      <c r="L170" t="s">
        <v>18</v>
      </c>
      <c r="M170">
        <v>243.9</v>
      </c>
      <c r="N170">
        <v>70.05</v>
      </c>
    </row>
    <row r="171" spans="1:14" x14ac:dyDescent="0.25">
      <c r="A171" t="s">
        <v>14</v>
      </c>
      <c r="B171" t="s">
        <v>15</v>
      </c>
      <c r="C171" t="s">
        <v>377</v>
      </c>
      <c r="D171" t="s">
        <v>378</v>
      </c>
      <c r="E171">
        <v>118.85</v>
      </c>
      <c r="F171">
        <v>118.85</v>
      </c>
      <c r="G171">
        <v>118.85</v>
      </c>
      <c r="H171">
        <v>115</v>
      </c>
      <c r="I171">
        <v>116.9</v>
      </c>
      <c r="J171">
        <v>843180</v>
      </c>
      <c r="K171">
        <v>7200</v>
      </c>
      <c r="L171" t="s">
        <v>18</v>
      </c>
      <c r="M171">
        <v>153.1</v>
      </c>
      <c r="N171">
        <v>60.6</v>
      </c>
    </row>
    <row r="172" spans="1:14" x14ac:dyDescent="0.25">
      <c r="A172" t="s">
        <v>14</v>
      </c>
      <c r="B172" t="s">
        <v>33</v>
      </c>
      <c r="C172" t="s">
        <v>379</v>
      </c>
      <c r="D172" t="s">
        <v>380</v>
      </c>
      <c r="E172">
        <v>3.55</v>
      </c>
      <c r="F172">
        <v>3.4</v>
      </c>
      <c r="G172">
        <v>3.4</v>
      </c>
      <c r="H172">
        <v>3.4</v>
      </c>
      <c r="I172">
        <v>3.4</v>
      </c>
      <c r="J172">
        <v>30600</v>
      </c>
      <c r="K172">
        <v>9000</v>
      </c>
      <c r="L172" t="s">
        <v>18</v>
      </c>
      <c r="M172">
        <v>14.6</v>
      </c>
      <c r="N172">
        <v>2.5</v>
      </c>
    </row>
    <row r="173" spans="1:14" x14ac:dyDescent="0.25">
      <c r="A173" t="s">
        <v>14</v>
      </c>
      <c r="B173" t="s">
        <v>15</v>
      </c>
      <c r="C173" t="s">
        <v>381</v>
      </c>
      <c r="D173" t="s">
        <v>382</v>
      </c>
      <c r="E173">
        <v>83.15</v>
      </c>
      <c r="F173">
        <v>83.15</v>
      </c>
      <c r="G173">
        <v>88.3</v>
      </c>
      <c r="H173">
        <v>83.15</v>
      </c>
      <c r="I173">
        <v>86.3</v>
      </c>
      <c r="J173">
        <v>3121350</v>
      </c>
      <c r="K173">
        <v>36500</v>
      </c>
      <c r="L173" t="s">
        <v>18</v>
      </c>
      <c r="M173">
        <v>318.14999999999998</v>
      </c>
      <c r="N173">
        <v>80.849999999999994</v>
      </c>
    </row>
    <row r="174" spans="1:14" x14ac:dyDescent="0.25">
      <c r="A174" t="s">
        <v>14</v>
      </c>
      <c r="B174" t="s">
        <v>33</v>
      </c>
      <c r="C174" t="s">
        <v>383</v>
      </c>
      <c r="D174" t="s">
        <v>384</v>
      </c>
      <c r="E174">
        <v>129.75</v>
      </c>
      <c r="F174">
        <v>126.1</v>
      </c>
      <c r="G174">
        <v>126.1</v>
      </c>
      <c r="H174">
        <v>123.3</v>
      </c>
      <c r="I174">
        <v>123.3</v>
      </c>
      <c r="J174">
        <v>434025</v>
      </c>
      <c r="K174">
        <v>3500</v>
      </c>
      <c r="L174" t="s">
        <v>18</v>
      </c>
      <c r="M174">
        <v>336</v>
      </c>
      <c r="N174">
        <v>110.2</v>
      </c>
    </row>
    <row r="175" spans="1:14" x14ac:dyDescent="0.25">
      <c r="A175" t="s">
        <v>14</v>
      </c>
      <c r="B175" t="s">
        <v>15</v>
      </c>
      <c r="C175" t="s">
        <v>385</v>
      </c>
      <c r="D175" t="s">
        <v>386</v>
      </c>
      <c r="E175">
        <v>144.94999999999999</v>
      </c>
      <c r="F175">
        <v>144.94999999999999</v>
      </c>
      <c r="G175">
        <v>152</v>
      </c>
      <c r="H175">
        <v>144.05000000000001</v>
      </c>
      <c r="I175">
        <v>146.5</v>
      </c>
      <c r="J175">
        <v>4002650</v>
      </c>
      <c r="K175">
        <v>27000</v>
      </c>
      <c r="L175" t="s">
        <v>18</v>
      </c>
      <c r="M175">
        <v>183</v>
      </c>
      <c r="N175">
        <v>106.35</v>
      </c>
    </row>
    <row r="176" spans="1:14" x14ac:dyDescent="0.25">
      <c r="A176" t="s">
        <v>14</v>
      </c>
      <c r="B176" t="s">
        <v>15</v>
      </c>
      <c r="C176" t="s">
        <v>387</v>
      </c>
      <c r="D176" t="s">
        <v>388</v>
      </c>
      <c r="E176">
        <v>44.5</v>
      </c>
      <c r="F176">
        <v>42.25</v>
      </c>
      <c r="G176">
        <v>42.85</v>
      </c>
      <c r="H176">
        <v>40.5</v>
      </c>
      <c r="I176">
        <v>42.85</v>
      </c>
      <c r="J176">
        <v>2150400</v>
      </c>
      <c r="K176">
        <v>52000</v>
      </c>
      <c r="L176" t="s">
        <v>18</v>
      </c>
      <c r="M176">
        <v>74.5</v>
      </c>
      <c r="N176">
        <v>31</v>
      </c>
    </row>
    <row r="177" spans="1:14" x14ac:dyDescent="0.25">
      <c r="A177" t="s">
        <v>14</v>
      </c>
      <c r="B177" t="s">
        <v>15</v>
      </c>
      <c r="C177" t="s">
        <v>389</v>
      </c>
      <c r="D177" t="s">
        <v>390</v>
      </c>
      <c r="E177">
        <v>10.45</v>
      </c>
      <c r="F177">
        <v>10.95</v>
      </c>
      <c r="G177">
        <v>10.95</v>
      </c>
      <c r="H177">
        <v>10.95</v>
      </c>
      <c r="I177">
        <v>10.95</v>
      </c>
      <c r="J177">
        <v>394200</v>
      </c>
      <c r="K177">
        <v>36000</v>
      </c>
      <c r="L177" t="s">
        <v>18</v>
      </c>
      <c r="M177">
        <v>22.7</v>
      </c>
      <c r="N177">
        <v>10</v>
      </c>
    </row>
    <row r="178" spans="1:14" x14ac:dyDescent="0.25">
      <c r="A178" t="s">
        <v>14</v>
      </c>
      <c r="B178" t="s">
        <v>15</v>
      </c>
      <c r="C178" t="s">
        <v>965</v>
      </c>
      <c r="D178" t="s">
        <v>966</v>
      </c>
      <c r="E178">
        <v>5.25</v>
      </c>
      <c r="F178">
        <v>5.55</v>
      </c>
      <c r="G178">
        <v>5.55</v>
      </c>
      <c r="H178">
        <v>5.3</v>
      </c>
      <c r="I178">
        <v>5.3</v>
      </c>
      <c r="J178">
        <v>65100</v>
      </c>
      <c r="K178">
        <v>12000</v>
      </c>
      <c r="L178" t="s">
        <v>18</v>
      </c>
      <c r="M178">
        <v>11.8</v>
      </c>
      <c r="N178">
        <v>4.8</v>
      </c>
    </row>
    <row r="179" spans="1:14" x14ac:dyDescent="0.25">
      <c r="A179" t="s">
        <v>14</v>
      </c>
      <c r="B179" t="s">
        <v>15</v>
      </c>
      <c r="C179" t="s">
        <v>391</v>
      </c>
      <c r="D179" t="s">
        <v>392</v>
      </c>
      <c r="E179">
        <v>42.75</v>
      </c>
      <c r="F179">
        <v>42.5</v>
      </c>
      <c r="G179">
        <v>43.75</v>
      </c>
      <c r="H179">
        <v>42.2</v>
      </c>
      <c r="I179">
        <v>42.2</v>
      </c>
      <c r="J179">
        <v>511900</v>
      </c>
      <c r="K179">
        <v>12000</v>
      </c>
      <c r="L179" t="s">
        <v>18</v>
      </c>
      <c r="M179">
        <v>77.75</v>
      </c>
      <c r="N179">
        <v>35.450000000000003</v>
      </c>
    </row>
    <row r="180" spans="1:14" x14ac:dyDescent="0.25">
      <c r="A180" t="s">
        <v>14</v>
      </c>
      <c r="B180" t="s">
        <v>15</v>
      </c>
      <c r="C180" t="s">
        <v>393</v>
      </c>
      <c r="D180" t="s">
        <v>394</v>
      </c>
      <c r="E180">
        <v>58.15</v>
      </c>
      <c r="F180">
        <v>61.8</v>
      </c>
      <c r="G180">
        <v>61.8</v>
      </c>
      <c r="H180">
        <v>58.65</v>
      </c>
      <c r="I180">
        <v>59.75</v>
      </c>
      <c r="J180">
        <v>572670</v>
      </c>
      <c r="K180">
        <v>9600</v>
      </c>
      <c r="L180" t="s">
        <v>18</v>
      </c>
      <c r="M180">
        <v>143.44999999999999</v>
      </c>
      <c r="N180">
        <v>52.5</v>
      </c>
    </row>
    <row r="181" spans="1:14" x14ac:dyDescent="0.25">
      <c r="A181" t="s">
        <v>14</v>
      </c>
      <c r="B181" t="s">
        <v>15</v>
      </c>
      <c r="C181" t="s">
        <v>395</v>
      </c>
      <c r="D181" t="s">
        <v>396</v>
      </c>
      <c r="E181">
        <v>87.7</v>
      </c>
      <c r="F181">
        <v>90.9</v>
      </c>
      <c r="G181">
        <v>91</v>
      </c>
      <c r="H181">
        <v>86.35</v>
      </c>
      <c r="I181">
        <v>90.2</v>
      </c>
      <c r="J181">
        <v>1695250</v>
      </c>
      <c r="K181">
        <v>19000</v>
      </c>
      <c r="L181" t="s">
        <v>18</v>
      </c>
      <c r="M181">
        <v>229</v>
      </c>
      <c r="N181">
        <v>84</v>
      </c>
    </row>
    <row r="182" spans="1:14" x14ac:dyDescent="0.25">
      <c r="A182" t="s">
        <v>14</v>
      </c>
      <c r="B182" t="s">
        <v>15</v>
      </c>
      <c r="C182" t="s">
        <v>397</v>
      </c>
      <c r="D182" t="s">
        <v>398</v>
      </c>
      <c r="E182">
        <v>19.600000000000001</v>
      </c>
      <c r="F182">
        <v>19</v>
      </c>
      <c r="G182">
        <v>19.149999999999999</v>
      </c>
      <c r="H182">
        <v>19</v>
      </c>
      <c r="I182">
        <v>19.149999999999999</v>
      </c>
      <c r="J182">
        <v>152600</v>
      </c>
      <c r="K182">
        <v>8000</v>
      </c>
      <c r="L182" t="s">
        <v>18</v>
      </c>
      <c r="M182">
        <v>55</v>
      </c>
      <c r="N182">
        <v>18.95</v>
      </c>
    </row>
    <row r="183" spans="1:14" x14ac:dyDescent="0.25">
      <c r="A183" t="s">
        <v>14</v>
      </c>
      <c r="B183" t="s">
        <v>15</v>
      </c>
      <c r="C183" t="s">
        <v>399</v>
      </c>
      <c r="D183" t="s">
        <v>400</v>
      </c>
      <c r="E183">
        <v>151.94999999999999</v>
      </c>
      <c r="F183">
        <v>148.5</v>
      </c>
      <c r="G183">
        <v>148.5</v>
      </c>
      <c r="H183">
        <v>148</v>
      </c>
      <c r="I183">
        <v>148</v>
      </c>
      <c r="J183">
        <v>444500</v>
      </c>
      <c r="K183">
        <v>3000</v>
      </c>
      <c r="L183" t="s">
        <v>18</v>
      </c>
      <c r="M183">
        <v>160</v>
      </c>
      <c r="N183">
        <v>46.15</v>
      </c>
    </row>
    <row r="184" spans="1:14" x14ac:dyDescent="0.25">
      <c r="A184" t="s">
        <v>14</v>
      </c>
      <c r="B184" t="s">
        <v>33</v>
      </c>
      <c r="C184" t="s">
        <v>401</v>
      </c>
      <c r="D184" t="s">
        <v>402</v>
      </c>
      <c r="E184">
        <v>117</v>
      </c>
      <c r="F184">
        <v>112.25</v>
      </c>
      <c r="G184">
        <v>119.95</v>
      </c>
      <c r="H184">
        <v>112.25</v>
      </c>
      <c r="I184">
        <v>119.95</v>
      </c>
      <c r="J184">
        <v>232200</v>
      </c>
      <c r="K184">
        <v>2000</v>
      </c>
      <c r="L184" t="s">
        <v>18</v>
      </c>
      <c r="M184">
        <v>973</v>
      </c>
      <c r="N184">
        <v>112.25</v>
      </c>
    </row>
    <row r="185" spans="1:14" x14ac:dyDescent="0.25">
      <c r="A185" t="s">
        <v>14</v>
      </c>
      <c r="B185" t="s">
        <v>15</v>
      </c>
      <c r="C185" t="s">
        <v>403</v>
      </c>
      <c r="D185" t="s">
        <v>404</v>
      </c>
      <c r="E185">
        <v>101.4</v>
      </c>
      <c r="F185">
        <v>98.6</v>
      </c>
      <c r="G185">
        <v>104.5</v>
      </c>
      <c r="H185">
        <v>98.6</v>
      </c>
      <c r="I185">
        <v>103.55</v>
      </c>
      <c r="J185">
        <v>1298370</v>
      </c>
      <c r="K185">
        <v>12600</v>
      </c>
      <c r="L185" t="s">
        <v>18</v>
      </c>
      <c r="M185">
        <v>131.75</v>
      </c>
      <c r="N185">
        <v>85.5</v>
      </c>
    </row>
    <row r="186" spans="1:14" x14ac:dyDescent="0.25">
      <c r="A186" t="s">
        <v>14</v>
      </c>
      <c r="B186" t="s">
        <v>15</v>
      </c>
      <c r="C186" t="s">
        <v>405</v>
      </c>
      <c r="D186" t="s">
        <v>406</v>
      </c>
      <c r="E186">
        <v>44.05</v>
      </c>
      <c r="F186">
        <v>43.6</v>
      </c>
      <c r="G186">
        <v>44.6</v>
      </c>
      <c r="H186">
        <v>41</v>
      </c>
      <c r="I186">
        <v>42.95</v>
      </c>
      <c r="J186">
        <v>1145040</v>
      </c>
      <c r="K186">
        <v>26400</v>
      </c>
      <c r="L186" t="s">
        <v>18</v>
      </c>
      <c r="M186">
        <v>112</v>
      </c>
      <c r="N186">
        <v>40.6</v>
      </c>
    </row>
    <row r="187" spans="1:14" x14ac:dyDescent="0.25">
      <c r="A187" t="s">
        <v>14</v>
      </c>
      <c r="B187" t="s">
        <v>15</v>
      </c>
      <c r="C187" t="s">
        <v>407</v>
      </c>
      <c r="D187" t="s">
        <v>408</v>
      </c>
      <c r="E187">
        <v>117.05</v>
      </c>
      <c r="F187">
        <v>118</v>
      </c>
      <c r="G187">
        <v>120.5</v>
      </c>
      <c r="H187">
        <v>115</v>
      </c>
      <c r="I187">
        <v>116.85</v>
      </c>
      <c r="J187">
        <v>4557975</v>
      </c>
      <c r="K187">
        <v>38500</v>
      </c>
      <c r="L187" t="s">
        <v>18</v>
      </c>
      <c r="M187">
        <v>388.05</v>
      </c>
      <c r="N187">
        <v>112.05</v>
      </c>
    </row>
    <row r="188" spans="1:14" x14ac:dyDescent="0.25">
      <c r="A188" t="s">
        <v>14</v>
      </c>
      <c r="B188" t="s">
        <v>15</v>
      </c>
      <c r="C188" t="s">
        <v>409</v>
      </c>
      <c r="D188" t="s">
        <v>410</v>
      </c>
      <c r="E188">
        <v>60.9</v>
      </c>
      <c r="F188">
        <v>60.9</v>
      </c>
      <c r="G188">
        <v>60.9</v>
      </c>
      <c r="H188">
        <v>58</v>
      </c>
      <c r="I188">
        <v>58.4</v>
      </c>
      <c r="J188">
        <v>517920</v>
      </c>
      <c r="K188">
        <v>8800</v>
      </c>
      <c r="L188" t="s">
        <v>18</v>
      </c>
      <c r="M188">
        <v>156.9</v>
      </c>
      <c r="N188">
        <v>58</v>
      </c>
    </row>
    <row r="189" spans="1:14" x14ac:dyDescent="0.25">
      <c r="A189" t="s">
        <v>14</v>
      </c>
      <c r="B189" t="s">
        <v>15</v>
      </c>
      <c r="C189" t="s">
        <v>411</v>
      </c>
      <c r="D189" t="s">
        <v>412</v>
      </c>
      <c r="E189">
        <v>19.2</v>
      </c>
      <c r="F189">
        <v>19.100000000000001</v>
      </c>
      <c r="G189">
        <v>20.7</v>
      </c>
      <c r="H189">
        <v>18.5</v>
      </c>
      <c r="I189">
        <v>19.399999999999999</v>
      </c>
      <c r="J189">
        <v>6595125</v>
      </c>
      <c r="K189">
        <v>340000</v>
      </c>
      <c r="L189" t="s">
        <v>18</v>
      </c>
      <c r="M189">
        <v>57.55</v>
      </c>
      <c r="N189">
        <v>16.8</v>
      </c>
    </row>
    <row r="190" spans="1:14" x14ac:dyDescent="0.25">
      <c r="A190" t="s">
        <v>14</v>
      </c>
      <c r="B190" t="s">
        <v>15</v>
      </c>
      <c r="C190" t="s">
        <v>413</v>
      </c>
      <c r="D190" t="s">
        <v>414</v>
      </c>
      <c r="E190">
        <v>39.049999999999997</v>
      </c>
      <c r="F190">
        <v>37</v>
      </c>
      <c r="G190">
        <v>39.950000000000003</v>
      </c>
      <c r="H190">
        <v>37</v>
      </c>
      <c r="I190">
        <v>38.950000000000003</v>
      </c>
      <c r="J190">
        <v>831000</v>
      </c>
      <c r="K190">
        <v>21600</v>
      </c>
      <c r="L190" t="s">
        <v>18</v>
      </c>
      <c r="M190">
        <v>85</v>
      </c>
      <c r="N190">
        <v>35.25</v>
      </c>
    </row>
    <row r="191" spans="1:14" x14ac:dyDescent="0.25">
      <c r="A191" t="s">
        <v>14</v>
      </c>
      <c r="B191" t="s">
        <v>33</v>
      </c>
      <c r="C191" t="s">
        <v>415</v>
      </c>
      <c r="D191" t="s">
        <v>416</v>
      </c>
      <c r="E191">
        <v>744.45</v>
      </c>
      <c r="F191">
        <v>715</v>
      </c>
      <c r="G191">
        <v>740</v>
      </c>
      <c r="H191">
        <v>715</v>
      </c>
      <c r="I191">
        <v>723.2</v>
      </c>
      <c r="J191">
        <v>1961610</v>
      </c>
      <c r="K191">
        <v>2700</v>
      </c>
      <c r="L191" t="s">
        <v>18</v>
      </c>
      <c r="M191">
        <v>1439</v>
      </c>
      <c r="N191">
        <v>556.04999999999995</v>
      </c>
    </row>
    <row r="192" spans="1:14" x14ac:dyDescent="0.25">
      <c r="A192" t="s">
        <v>14</v>
      </c>
      <c r="B192" t="s">
        <v>15</v>
      </c>
      <c r="C192" t="s">
        <v>417</v>
      </c>
      <c r="D192" t="s">
        <v>418</v>
      </c>
      <c r="E192">
        <v>43.25</v>
      </c>
      <c r="F192">
        <v>45</v>
      </c>
      <c r="G192">
        <v>45</v>
      </c>
      <c r="H192">
        <v>44.95</v>
      </c>
      <c r="I192">
        <v>44.95</v>
      </c>
      <c r="J192">
        <v>134950</v>
      </c>
      <c r="K192">
        <v>3000</v>
      </c>
      <c r="L192" t="s">
        <v>18</v>
      </c>
      <c r="M192">
        <v>114.85</v>
      </c>
      <c r="N192">
        <v>38.5</v>
      </c>
    </row>
    <row r="193" spans="1:14" x14ac:dyDescent="0.25">
      <c r="A193" t="s">
        <v>14</v>
      </c>
      <c r="B193" t="s">
        <v>15</v>
      </c>
      <c r="C193" t="s">
        <v>419</v>
      </c>
      <c r="D193" t="s">
        <v>420</v>
      </c>
      <c r="E193">
        <v>61</v>
      </c>
      <c r="F193">
        <v>59</v>
      </c>
      <c r="G193">
        <v>60.95</v>
      </c>
      <c r="H193">
        <v>59</v>
      </c>
      <c r="I193">
        <v>60.95</v>
      </c>
      <c r="J193">
        <v>71970</v>
      </c>
      <c r="K193">
        <v>1200</v>
      </c>
      <c r="L193" t="s">
        <v>18</v>
      </c>
      <c r="M193">
        <v>124.5</v>
      </c>
      <c r="N193">
        <v>53.25</v>
      </c>
    </row>
    <row r="194" spans="1:14" x14ac:dyDescent="0.25">
      <c r="A194" t="s">
        <v>14</v>
      </c>
      <c r="B194" t="s">
        <v>33</v>
      </c>
      <c r="C194" t="s">
        <v>421</v>
      </c>
      <c r="D194" t="s">
        <v>422</v>
      </c>
      <c r="E194">
        <v>171.6</v>
      </c>
      <c r="F194">
        <v>166.1</v>
      </c>
      <c r="G194">
        <v>174</v>
      </c>
      <c r="H194">
        <v>163.05000000000001</v>
      </c>
      <c r="I194">
        <v>163.30000000000001</v>
      </c>
      <c r="J194">
        <v>1553722.5</v>
      </c>
      <c r="K194">
        <v>9300</v>
      </c>
      <c r="L194" t="s">
        <v>18</v>
      </c>
      <c r="M194">
        <v>564.95000000000005</v>
      </c>
      <c r="N194">
        <v>135.19999999999999</v>
      </c>
    </row>
    <row r="195" spans="1:14" x14ac:dyDescent="0.25">
      <c r="A195" t="s">
        <v>14</v>
      </c>
      <c r="B195" t="s">
        <v>15</v>
      </c>
      <c r="C195" t="s">
        <v>423</v>
      </c>
      <c r="D195" t="s">
        <v>424</v>
      </c>
      <c r="E195">
        <v>191.5</v>
      </c>
      <c r="F195">
        <v>196.75</v>
      </c>
      <c r="G195">
        <v>204</v>
      </c>
      <c r="H195">
        <v>196.75</v>
      </c>
      <c r="I195">
        <v>201.75</v>
      </c>
      <c r="J195">
        <v>538845</v>
      </c>
      <c r="K195">
        <v>2700</v>
      </c>
      <c r="L195" t="s">
        <v>18</v>
      </c>
      <c r="M195">
        <v>768</v>
      </c>
      <c r="N195">
        <v>191.2</v>
      </c>
    </row>
    <row r="196" spans="1:14" x14ac:dyDescent="0.25">
      <c r="A196" t="s">
        <v>14</v>
      </c>
      <c r="B196" t="s">
        <v>15</v>
      </c>
      <c r="C196" t="s">
        <v>425</v>
      </c>
      <c r="D196" t="s">
        <v>426</v>
      </c>
      <c r="E196">
        <v>178.8</v>
      </c>
      <c r="F196">
        <v>178.85</v>
      </c>
      <c r="G196">
        <v>184.7</v>
      </c>
      <c r="H196">
        <v>177</v>
      </c>
      <c r="I196">
        <v>178.05</v>
      </c>
      <c r="J196">
        <v>2163750</v>
      </c>
      <c r="K196">
        <v>12000</v>
      </c>
      <c r="L196" t="s">
        <v>18</v>
      </c>
      <c r="M196">
        <v>300</v>
      </c>
      <c r="N196">
        <v>150</v>
      </c>
    </row>
    <row r="197" spans="1:14" x14ac:dyDescent="0.25">
      <c r="A197" t="s">
        <v>14</v>
      </c>
      <c r="B197" t="s">
        <v>33</v>
      </c>
      <c r="C197" t="s">
        <v>427</v>
      </c>
      <c r="D197" t="s">
        <v>428</v>
      </c>
      <c r="E197">
        <v>180.7</v>
      </c>
      <c r="F197">
        <v>172.1</v>
      </c>
      <c r="G197">
        <v>184</v>
      </c>
      <c r="H197">
        <v>172.1</v>
      </c>
      <c r="I197">
        <v>177.8</v>
      </c>
      <c r="J197">
        <v>70223400</v>
      </c>
      <c r="K197">
        <v>393000</v>
      </c>
      <c r="L197" t="s">
        <v>18</v>
      </c>
      <c r="M197">
        <v>184</v>
      </c>
      <c r="N197">
        <v>165.15</v>
      </c>
    </row>
    <row r="198" spans="1:14" x14ac:dyDescent="0.25">
      <c r="A198" t="s">
        <v>14</v>
      </c>
      <c r="B198" t="s">
        <v>15</v>
      </c>
      <c r="C198" t="s">
        <v>429</v>
      </c>
      <c r="D198" t="s">
        <v>430</v>
      </c>
      <c r="E198">
        <v>96</v>
      </c>
      <c r="F198">
        <v>96</v>
      </c>
      <c r="G198">
        <v>98.75</v>
      </c>
      <c r="H198">
        <v>96</v>
      </c>
      <c r="I198">
        <v>98.05</v>
      </c>
      <c r="J198">
        <v>585780</v>
      </c>
      <c r="K198">
        <v>6000</v>
      </c>
      <c r="L198" t="s">
        <v>18</v>
      </c>
      <c r="M198">
        <v>148</v>
      </c>
      <c r="N198">
        <v>81</v>
      </c>
    </row>
    <row r="199" spans="1:14" x14ac:dyDescent="0.25">
      <c r="A199" t="s">
        <v>14</v>
      </c>
      <c r="B199" t="s">
        <v>15</v>
      </c>
      <c r="C199" t="s">
        <v>431</v>
      </c>
      <c r="D199" t="s">
        <v>432</v>
      </c>
      <c r="E199">
        <v>108.05</v>
      </c>
      <c r="F199">
        <v>108</v>
      </c>
      <c r="G199">
        <v>109.5</v>
      </c>
      <c r="H199">
        <v>105.2</v>
      </c>
      <c r="I199">
        <v>106.9</v>
      </c>
      <c r="J199">
        <v>687240</v>
      </c>
      <c r="K199">
        <v>6400</v>
      </c>
      <c r="L199" t="s">
        <v>18</v>
      </c>
      <c r="M199">
        <v>274</v>
      </c>
      <c r="N199">
        <v>102.25</v>
      </c>
    </row>
    <row r="200" spans="1:14" x14ac:dyDescent="0.25">
      <c r="A200" t="s">
        <v>14</v>
      </c>
      <c r="B200" t="s">
        <v>15</v>
      </c>
      <c r="C200" t="s">
        <v>433</v>
      </c>
      <c r="D200" t="s">
        <v>434</v>
      </c>
      <c r="E200">
        <v>29.4</v>
      </c>
      <c r="F200">
        <v>29.4</v>
      </c>
      <c r="G200">
        <v>29.4</v>
      </c>
      <c r="H200">
        <v>29.4</v>
      </c>
      <c r="I200">
        <v>29.4</v>
      </c>
      <c r="J200">
        <v>17640</v>
      </c>
      <c r="K200">
        <v>600</v>
      </c>
      <c r="L200" t="s">
        <v>18</v>
      </c>
      <c r="M200">
        <v>71.95</v>
      </c>
      <c r="N200">
        <v>24.5</v>
      </c>
    </row>
    <row r="201" spans="1:14" x14ac:dyDescent="0.25">
      <c r="A201" t="s">
        <v>14</v>
      </c>
      <c r="B201" t="s">
        <v>15</v>
      </c>
      <c r="C201" t="s">
        <v>967</v>
      </c>
      <c r="D201" t="s">
        <v>968</v>
      </c>
      <c r="E201">
        <v>67</v>
      </c>
      <c r="F201">
        <v>66.95</v>
      </c>
      <c r="G201">
        <v>66.95</v>
      </c>
      <c r="H201">
        <v>63.65</v>
      </c>
      <c r="I201">
        <v>66.95</v>
      </c>
      <c r="J201">
        <v>688125</v>
      </c>
      <c r="K201">
        <v>10500</v>
      </c>
      <c r="L201" t="s">
        <v>18</v>
      </c>
      <c r="M201">
        <v>99.5</v>
      </c>
      <c r="N201">
        <v>48.6</v>
      </c>
    </row>
    <row r="202" spans="1:14" x14ac:dyDescent="0.25">
      <c r="A202" t="s">
        <v>14</v>
      </c>
      <c r="B202" t="s">
        <v>15</v>
      </c>
      <c r="C202" t="s">
        <v>435</v>
      </c>
      <c r="D202" t="s">
        <v>436</v>
      </c>
      <c r="E202">
        <v>58.55</v>
      </c>
      <c r="F202">
        <v>60</v>
      </c>
      <c r="G202">
        <v>60</v>
      </c>
      <c r="H202">
        <v>58</v>
      </c>
      <c r="I202">
        <v>58</v>
      </c>
      <c r="J202">
        <v>235500</v>
      </c>
      <c r="K202">
        <v>4000</v>
      </c>
      <c r="L202" t="s">
        <v>18</v>
      </c>
      <c r="M202">
        <v>125.75</v>
      </c>
      <c r="N202">
        <v>58</v>
      </c>
    </row>
    <row r="203" spans="1:14" x14ac:dyDescent="0.25">
      <c r="A203" t="s">
        <v>14</v>
      </c>
      <c r="B203" t="s">
        <v>15</v>
      </c>
      <c r="C203" t="s">
        <v>437</v>
      </c>
      <c r="D203" t="s">
        <v>438</v>
      </c>
      <c r="E203">
        <v>608.04999999999995</v>
      </c>
      <c r="F203">
        <v>591</v>
      </c>
      <c r="G203">
        <v>614</v>
      </c>
      <c r="H203">
        <v>586.1</v>
      </c>
      <c r="I203">
        <v>609.29999999999995</v>
      </c>
      <c r="J203">
        <v>5046900</v>
      </c>
      <c r="K203">
        <v>8400</v>
      </c>
      <c r="L203" t="s">
        <v>18</v>
      </c>
      <c r="M203">
        <v>819</v>
      </c>
      <c r="N203">
        <v>32.049999999999997</v>
      </c>
    </row>
    <row r="204" spans="1:14" x14ac:dyDescent="0.25">
      <c r="A204" t="s">
        <v>14</v>
      </c>
      <c r="B204" t="s">
        <v>15</v>
      </c>
      <c r="C204" t="s">
        <v>439</v>
      </c>
      <c r="D204" t="s">
        <v>440</v>
      </c>
      <c r="E204">
        <v>227.5</v>
      </c>
      <c r="F204">
        <v>220.05</v>
      </c>
      <c r="G204">
        <v>225</v>
      </c>
      <c r="H204">
        <v>220</v>
      </c>
      <c r="I204">
        <v>223.95</v>
      </c>
      <c r="J204">
        <v>1428560</v>
      </c>
      <c r="K204">
        <v>6400</v>
      </c>
      <c r="L204" t="s">
        <v>18</v>
      </c>
      <c r="M204">
        <v>246.95</v>
      </c>
      <c r="N204">
        <v>150.6</v>
      </c>
    </row>
    <row r="205" spans="1:14" x14ac:dyDescent="0.25">
      <c r="A205" t="s">
        <v>14</v>
      </c>
      <c r="B205" t="s">
        <v>15</v>
      </c>
      <c r="C205" t="s">
        <v>441</v>
      </c>
      <c r="D205" t="s">
        <v>442</v>
      </c>
      <c r="E205">
        <v>133</v>
      </c>
      <c r="F205">
        <v>130</v>
      </c>
      <c r="G205">
        <v>141.30000000000001</v>
      </c>
      <c r="H205">
        <v>130</v>
      </c>
      <c r="I205">
        <v>136.25</v>
      </c>
      <c r="J205">
        <v>3501600</v>
      </c>
      <c r="K205">
        <v>26000</v>
      </c>
      <c r="L205" t="s">
        <v>18</v>
      </c>
      <c r="M205">
        <v>212</v>
      </c>
      <c r="N205">
        <v>108.6</v>
      </c>
    </row>
    <row r="206" spans="1:14" x14ac:dyDescent="0.25">
      <c r="A206" t="s">
        <v>14</v>
      </c>
      <c r="B206" t="s">
        <v>15</v>
      </c>
      <c r="C206" t="s">
        <v>443</v>
      </c>
      <c r="D206" t="s">
        <v>444</v>
      </c>
      <c r="E206">
        <v>137.80000000000001</v>
      </c>
      <c r="F206">
        <v>134</v>
      </c>
      <c r="G206">
        <v>135</v>
      </c>
      <c r="H206">
        <v>133</v>
      </c>
      <c r="I206">
        <v>134</v>
      </c>
      <c r="J206">
        <v>9850000</v>
      </c>
      <c r="K206">
        <v>73000</v>
      </c>
      <c r="L206" t="s">
        <v>18</v>
      </c>
      <c r="M206">
        <v>166.1</v>
      </c>
      <c r="N206">
        <v>75.5</v>
      </c>
    </row>
    <row r="207" spans="1:14" x14ac:dyDescent="0.25">
      <c r="A207" t="s">
        <v>14</v>
      </c>
      <c r="B207" t="s">
        <v>15</v>
      </c>
      <c r="C207" t="s">
        <v>447</v>
      </c>
      <c r="D207" t="s">
        <v>448</v>
      </c>
      <c r="E207">
        <v>179.2</v>
      </c>
      <c r="F207">
        <v>179.95</v>
      </c>
      <c r="G207">
        <v>185</v>
      </c>
      <c r="H207">
        <v>177</v>
      </c>
      <c r="I207">
        <v>184.95</v>
      </c>
      <c r="J207">
        <v>3683737.5</v>
      </c>
      <c r="K207">
        <v>20250</v>
      </c>
      <c r="L207" t="s">
        <v>18</v>
      </c>
      <c r="M207">
        <v>185</v>
      </c>
      <c r="N207">
        <v>95.2</v>
      </c>
    </row>
    <row r="208" spans="1:14" x14ac:dyDescent="0.25">
      <c r="A208" t="s">
        <v>14</v>
      </c>
      <c r="B208" t="s">
        <v>15</v>
      </c>
      <c r="C208" t="s">
        <v>449</v>
      </c>
      <c r="D208" t="s">
        <v>450</v>
      </c>
      <c r="E208">
        <v>199.3</v>
      </c>
      <c r="F208">
        <v>219.95</v>
      </c>
      <c r="G208">
        <v>219.95</v>
      </c>
      <c r="H208">
        <v>190.9</v>
      </c>
      <c r="I208">
        <v>192.4</v>
      </c>
      <c r="J208">
        <v>1341160</v>
      </c>
      <c r="K208">
        <v>6800</v>
      </c>
      <c r="L208" t="s">
        <v>18</v>
      </c>
      <c r="M208">
        <v>329</v>
      </c>
      <c r="N208">
        <v>190.9</v>
      </c>
    </row>
    <row r="209" spans="1:14" x14ac:dyDescent="0.25">
      <c r="A209" t="s">
        <v>14</v>
      </c>
      <c r="B209" t="s">
        <v>15</v>
      </c>
      <c r="C209" t="s">
        <v>451</v>
      </c>
      <c r="D209" t="s">
        <v>452</v>
      </c>
      <c r="E209">
        <v>68.650000000000006</v>
      </c>
      <c r="F209">
        <v>58.4</v>
      </c>
      <c r="G209">
        <v>66</v>
      </c>
      <c r="H209">
        <v>55</v>
      </c>
      <c r="I209">
        <v>57.3</v>
      </c>
      <c r="J209">
        <v>4534560</v>
      </c>
      <c r="K209">
        <v>76800</v>
      </c>
      <c r="L209" t="s">
        <v>18</v>
      </c>
      <c r="M209">
        <v>153.9</v>
      </c>
      <c r="N209">
        <v>55</v>
      </c>
    </row>
    <row r="210" spans="1:14" x14ac:dyDescent="0.25">
      <c r="A210" t="s">
        <v>14</v>
      </c>
      <c r="B210" t="s">
        <v>15</v>
      </c>
      <c r="C210" t="s">
        <v>455</v>
      </c>
      <c r="D210" t="s">
        <v>456</v>
      </c>
      <c r="E210">
        <v>43.7</v>
      </c>
      <c r="F210">
        <v>41.55</v>
      </c>
      <c r="G210">
        <v>45.85</v>
      </c>
      <c r="H210">
        <v>41.55</v>
      </c>
      <c r="I210">
        <v>45.8</v>
      </c>
      <c r="J210">
        <v>350240</v>
      </c>
      <c r="K210">
        <v>8000</v>
      </c>
      <c r="L210" t="s">
        <v>18</v>
      </c>
      <c r="M210">
        <v>80.2</v>
      </c>
      <c r="N210">
        <v>26.25</v>
      </c>
    </row>
    <row r="211" spans="1:14" x14ac:dyDescent="0.25">
      <c r="A211" t="s">
        <v>14</v>
      </c>
      <c r="B211" t="s">
        <v>15</v>
      </c>
      <c r="C211" t="s">
        <v>457</v>
      </c>
      <c r="D211" t="s">
        <v>458</v>
      </c>
      <c r="E211">
        <v>16.5</v>
      </c>
      <c r="F211">
        <v>17.100000000000001</v>
      </c>
      <c r="G211">
        <v>18.149999999999999</v>
      </c>
      <c r="H211">
        <v>16.5</v>
      </c>
      <c r="I211">
        <v>16.55</v>
      </c>
      <c r="J211">
        <v>169700</v>
      </c>
      <c r="K211">
        <v>10000</v>
      </c>
      <c r="L211" t="s">
        <v>18</v>
      </c>
      <c r="M211">
        <v>41.5</v>
      </c>
      <c r="N211">
        <v>16.05</v>
      </c>
    </row>
    <row r="212" spans="1:14" x14ac:dyDescent="0.25">
      <c r="A212" t="s">
        <v>14</v>
      </c>
      <c r="B212" t="s">
        <v>15</v>
      </c>
      <c r="C212" t="s">
        <v>459</v>
      </c>
      <c r="D212" t="s">
        <v>460</v>
      </c>
      <c r="E212">
        <v>55.05</v>
      </c>
      <c r="F212">
        <v>52.55</v>
      </c>
      <c r="G212">
        <v>54</v>
      </c>
      <c r="H212">
        <v>51</v>
      </c>
      <c r="I212">
        <v>52.45</v>
      </c>
      <c r="J212">
        <v>1023660</v>
      </c>
      <c r="K212">
        <v>19200</v>
      </c>
      <c r="L212" t="s">
        <v>18</v>
      </c>
      <c r="M212">
        <v>74.400000000000006</v>
      </c>
      <c r="N212">
        <v>40.75</v>
      </c>
    </row>
    <row r="213" spans="1:14" x14ac:dyDescent="0.25">
      <c r="A213" t="s">
        <v>14</v>
      </c>
      <c r="B213" t="s">
        <v>15</v>
      </c>
      <c r="C213" t="s">
        <v>461</v>
      </c>
      <c r="D213" t="s">
        <v>462</v>
      </c>
      <c r="E213">
        <v>28.5</v>
      </c>
      <c r="F213">
        <v>28.6</v>
      </c>
      <c r="G213">
        <v>28.6</v>
      </c>
      <c r="H213">
        <v>26.75</v>
      </c>
      <c r="I213">
        <v>27.3</v>
      </c>
      <c r="J213">
        <v>1354275</v>
      </c>
      <c r="K213">
        <v>49500</v>
      </c>
      <c r="L213" t="s">
        <v>18</v>
      </c>
      <c r="M213">
        <v>57.25</v>
      </c>
      <c r="N213">
        <v>26.75</v>
      </c>
    </row>
    <row r="214" spans="1:14" x14ac:dyDescent="0.25">
      <c r="A214" t="s">
        <v>14</v>
      </c>
      <c r="B214" t="s">
        <v>33</v>
      </c>
      <c r="C214" t="s">
        <v>463</v>
      </c>
      <c r="D214" t="s">
        <v>464</v>
      </c>
      <c r="E214">
        <v>15.65</v>
      </c>
      <c r="F214">
        <v>15.65</v>
      </c>
      <c r="G214">
        <v>15.65</v>
      </c>
      <c r="H214">
        <v>15.65</v>
      </c>
      <c r="I214">
        <v>15.65</v>
      </c>
      <c r="J214">
        <v>62600</v>
      </c>
      <c r="K214">
        <v>4000</v>
      </c>
      <c r="L214" t="s">
        <v>18</v>
      </c>
      <c r="M214">
        <v>28.2</v>
      </c>
      <c r="N214">
        <v>13.3</v>
      </c>
    </row>
    <row r="215" spans="1:14" x14ac:dyDescent="0.25">
      <c r="A215" t="s">
        <v>14</v>
      </c>
      <c r="B215" t="s">
        <v>15</v>
      </c>
      <c r="C215" t="s">
        <v>465</v>
      </c>
      <c r="D215" t="s">
        <v>466</v>
      </c>
      <c r="E215">
        <v>50</v>
      </c>
      <c r="F215">
        <v>51</v>
      </c>
      <c r="G215">
        <v>51</v>
      </c>
      <c r="H215">
        <v>50</v>
      </c>
      <c r="I215">
        <v>50.5</v>
      </c>
      <c r="J215">
        <v>101000</v>
      </c>
      <c r="K215">
        <v>2000</v>
      </c>
      <c r="L215" t="s">
        <v>18</v>
      </c>
      <c r="M215">
        <v>124.5</v>
      </c>
      <c r="N215">
        <v>50</v>
      </c>
    </row>
    <row r="216" spans="1:14" x14ac:dyDescent="0.25">
      <c r="A216" t="s">
        <v>14</v>
      </c>
      <c r="B216" t="s">
        <v>15</v>
      </c>
      <c r="C216" t="s">
        <v>467</v>
      </c>
      <c r="D216" t="s">
        <v>468</v>
      </c>
      <c r="E216">
        <v>179.15</v>
      </c>
      <c r="F216">
        <v>173</v>
      </c>
      <c r="G216">
        <v>179</v>
      </c>
      <c r="H216">
        <v>170</v>
      </c>
      <c r="I216">
        <v>174</v>
      </c>
      <c r="J216">
        <v>4006500</v>
      </c>
      <c r="K216">
        <v>23000</v>
      </c>
      <c r="L216" t="s">
        <v>18</v>
      </c>
      <c r="M216">
        <v>220</v>
      </c>
      <c r="N216">
        <v>73.5</v>
      </c>
    </row>
    <row r="217" spans="1:14" x14ac:dyDescent="0.25">
      <c r="A217" t="s">
        <v>14</v>
      </c>
      <c r="B217" t="s">
        <v>15</v>
      </c>
      <c r="C217" t="s">
        <v>469</v>
      </c>
      <c r="D217" t="s">
        <v>470</v>
      </c>
      <c r="E217">
        <v>315</v>
      </c>
      <c r="F217">
        <v>300.14999999999998</v>
      </c>
      <c r="G217">
        <v>315.95</v>
      </c>
      <c r="H217">
        <v>300</v>
      </c>
      <c r="I217">
        <v>315</v>
      </c>
      <c r="J217">
        <v>1073550</v>
      </c>
      <c r="K217">
        <v>3500</v>
      </c>
      <c r="L217" t="s">
        <v>18</v>
      </c>
      <c r="M217">
        <v>436</v>
      </c>
      <c r="N217">
        <v>258.39999999999998</v>
      </c>
    </row>
    <row r="218" spans="1:14" x14ac:dyDescent="0.25">
      <c r="A218" t="s">
        <v>14</v>
      </c>
      <c r="B218" t="s">
        <v>15</v>
      </c>
      <c r="C218" t="s">
        <v>471</v>
      </c>
      <c r="D218" t="s">
        <v>472</v>
      </c>
      <c r="E218">
        <v>86.9</v>
      </c>
      <c r="F218">
        <v>83.6</v>
      </c>
      <c r="G218">
        <v>83.8</v>
      </c>
      <c r="H218">
        <v>81.2</v>
      </c>
      <c r="I218">
        <v>81.45</v>
      </c>
      <c r="J218">
        <v>4694520</v>
      </c>
      <c r="K218">
        <v>57600</v>
      </c>
      <c r="L218" t="s">
        <v>18</v>
      </c>
      <c r="M218">
        <v>120</v>
      </c>
      <c r="N218">
        <v>73.55</v>
      </c>
    </row>
    <row r="219" spans="1:14" x14ac:dyDescent="0.25">
      <c r="A219" t="s">
        <v>14</v>
      </c>
      <c r="B219" t="s">
        <v>15</v>
      </c>
      <c r="C219" t="s">
        <v>473</v>
      </c>
      <c r="D219" t="s">
        <v>474</v>
      </c>
      <c r="E219">
        <v>40</v>
      </c>
      <c r="F219">
        <v>40</v>
      </c>
      <c r="G219">
        <v>40</v>
      </c>
      <c r="H219">
        <v>40</v>
      </c>
      <c r="I219">
        <v>40</v>
      </c>
      <c r="J219">
        <v>120000</v>
      </c>
      <c r="K219">
        <v>3000</v>
      </c>
      <c r="L219" t="s">
        <v>18</v>
      </c>
      <c r="M219">
        <v>89.5</v>
      </c>
      <c r="N219">
        <v>37.200000000000003</v>
      </c>
    </row>
    <row r="220" spans="1:14" x14ac:dyDescent="0.25">
      <c r="A220" t="s">
        <v>14</v>
      </c>
      <c r="B220" t="s">
        <v>33</v>
      </c>
      <c r="C220" t="s">
        <v>475</v>
      </c>
      <c r="D220" t="s">
        <v>476</v>
      </c>
      <c r="E220">
        <v>338</v>
      </c>
      <c r="F220">
        <v>330</v>
      </c>
      <c r="G220">
        <v>330</v>
      </c>
      <c r="H220">
        <v>321.10000000000002</v>
      </c>
      <c r="I220">
        <v>321.10000000000002</v>
      </c>
      <c r="J220">
        <v>13657280</v>
      </c>
      <c r="K220">
        <v>42400</v>
      </c>
      <c r="L220" t="s">
        <v>18</v>
      </c>
      <c r="M220">
        <v>509</v>
      </c>
      <c r="N220">
        <v>145.05000000000001</v>
      </c>
    </row>
    <row r="221" spans="1:14" x14ac:dyDescent="0.25">
      <c r="A221" t="s">
        <v>14</v>
      </c>
      <c r="B221" t="s">
        <v>33</v>
      </c>
      <c r="C221" t="s">
        <v>477</v>
      </c>
      <c r="D221" t="s">
        <v>478</v>
      </c>
      <c r="E221">
        <v>55.45</v>
      </c>
      <c r="F221">
        <v>55.45</v>
      </c>
      <c r="G221">
        <v>56.3</v>
      </c>
      <c r="H221">
        <v>55.45</v>
      </c>
      <c r="I221">
        <v>56.3</v>
      </c>
      <c r="J221">
        <v>617550</v>
      </c>
      <c r="K221">
        <v>11000</v>
      </c>
      <c r="L221" t="s">
        <v>18</v>
      </c>
      <c r="M221">
        <v>186.6</v>
      </c>
      <c r="N221">
        <v>53.4</v>
      </c>
    </row>
    <row r="222" spans="1:14" x14ac:dyDescent="0.25">
      <c r="A222" t="s">
        <v>14</v>
      </c>
      <c r="B222" t="s">
        <v>15</v>
      </c>
      <c r="C222" t="s">
        <v>479</v>
      </c>
      <c r="D222" t="s">
        <v>480</v>
      </c>
      <c r="E222">
        <v>25.4</v>
      </c>
      <c r="F222">
        <v>25.5</v>
      </c>
      <c r="G222">
        <v>26.65</v>
      </c>
      <c r="H222">
        <v>25.45</v>
      </c>
      <c r="I222">
        <v>26.65</v>
      </c>
      <c r="J222">
        <v>206200</v>
      </c>
      <c r="K222">
        <v>8000</v>
      </c>
      <c r="L222" t="s">
        <v>18</v>
      </c>
      <c r="M222">
        <v>49.7</v>
      </c>
      <c r="N222">
        <v>19.600000000000001</v>
      </c>
    </row>
    <row r="223" spans="1:14" x14ac:dyDescent="0.25">
      <c r="A223" t="s">
        <v>14</v>
      </c>
      <c r="B223" t="s">
        <v>15</v>
      </c>
      <c r="C223" t="s">
        <v>969</v>
      </c>
      <c r="D223" t="s">
        <v>970</v>
      </c>
      <c r="E223">
        <v>22.75</v>
      </c>
      <c r="F223">
        <v>22.75</v>
      </c>
      <c r="G223">
        <v>22.75</v>
      </c>
      <c r="H223">
        <v>22.75</v>
      </c>
      <c r="I223">
        <v>22.75</v>
      </c>
      <c r="J223">
        <v>68250</v>
      </c>
      <c r="K223">
        <v>3000</v>
      </c>
      <c r="L223" t="s">
        <v>18</v>
      </c>
      <c r="M223">
        <v>53</v>
      </c>
      <c r="N223">
        <v>22.05</v>
      </c>
    </row>
    <row r="224" spans="1:14" x14ac:dyDescent="0.25">
      <c r="A224" t="s">
        <v>14</v>
      </c>
      <c r="B224" t="s">
        <v>15</v>
      </c>
      <c r="C224" t="s">
        <v>483</v>
      </c>
      <c r="D224" t="s">
        <v>484</v>
      </c>
      <c r="E224">
        <v>206.7</v>
      </c>
      <c r="F224">
        <v>205.6</v>
      </c>
      <c r="G224">
        <v>205.6</v>
      </c>
      <c r="H224">
        <v>201</v>
      </c>
      <c r="I224">
        <v>202.25</v>
      </c>
      <c r="J224">
        <v>1701420</v>
      </c>
      <c r="K224">
        <v>8400</v>
      </c>
      <c r="L224" t="s">
        <v>18</v>
      </c>
      <c r="M224">
        <v>380</v>
      </c>
      <c r="N224">
        <v>192.55</v>
      </c>
    </row>
    <row r="225" spans="1:14" x14ac:dyDescent="0.25">
      <c r="A225" t="s">
        <v>14</v>
      </c>
      <c r="B225" t="s">
        <v>15</v>
      </c>
      <c r="C225" t="s">
        <v>485</v>
      </c>
      <c r="D225" t="s">
        <v>486</v>
      </c>
      <c r="E225">
        <v>19</v>
      </c>
      <c r="F225">
        <v>19</v>
      </c>
      <c r="G225">
        <v>19</v>
      </c>
      <c r="H225">
        <v>19</v>
      </c>
      <c r="I225">
        <v>19</v>
      </c>
      <c r="J225">
        <v>30400</v>
      </c>
      <c r="K225">
        <v>1600</v>
      </c>
      <c r="L225" t="s">
        <v>18</v>
      </c>
      <c r="M225">
        <v>32</v>
      </c>
      <c r="N225">
        <v>17.850000000000001</v>
      </c>
    </row>
    <row r="226" spans="1:14" x14ac:dyDescent="0.25">
      <c r="A226" t="s">
        <v>14</v>
      </c>
      <c r="B226" t="s">
        <v>33</v>
      </c>
      <c r="C226" t="s">
        <v>487</v>
      </c>
      <c r="D226" t="s">
        <v>488</v>
      </c>
      <c r="E226">
        <v>51</v>
      </c>
      <c r="F226">
        <v>52.5</v>
      </c>
      <c r="G226">
        <v>53.5</v>
      </c>
      <c r="H226">
        <v>49.2</v>
      </c>
      <c r="I226">
        <v>49.2</v>
      </c>
      <c r="J226">
        <v>2066680</v>
      </c>
      <c r="K226">
        <v>39600</v>
      </c>
      <c r="L226" t="s">
        <v>18</v>
      </c>
      <c r="M226">
        <v>53.5</v>
      </c>
      <c r="N226">
        <v>24.85</v>
      </c>
    </row>
    <row r="227" spans="1:14" x14ac:dyDescent="0.25">
      <c r="A227" t="s">
        <v>14</v>
      </c>
      <c r="B227" t="s">
        <v>15</v>
      </c>
      <c r="C227" t="s">
        <v>489</v>
      </c>
      <c r="D227" t="s">
        <v>490</v>
      </c>
      <c r="E227">
        <v>37</v>
      </c>
      <c r="F227">
        <v>37.25</v>
      </c>
      <c r="G227">
        <v>37.25</v>
      </c>
      <c r="H227">
        <v>36.049999999999997</v>
      </c>
      <c r="I227">
        <v>36.049999999999997</v>
      </c>
      <c r="J227">
        <v>1200975</v>
      </c>
      <c r="K227">
        <v>33000</v>
      </c>
      <c r="L227" t="s">
        <v>18</v>
      </c>
      <c r="M227">
        <v>75.5</v>
      </c>
      <c r="N227">
        <v>35.15</v>
      </c>
    </row>
    <row r="228" spans="1:14" x14ac:dyDescent="0.25">
      <c r="A228" t="s">
        <v>14</v>
      </c>
      <c r="B228" t="s">
        <v>15</v>
      </c>
      <c r="C228" t="s">
        <v>491</v>
      </c>
      <c r="D228" t="s">
        <v>492</v>
      </c>
      <c r="E228">
        <v>9.4499999999999993</v>
      </c>
      <c r="F228">
        <v>9.5</v>
      </c>
      <c r="G228">
        <v>9.9</v>
      </c>
      <c r="H228">
        <v>9.5</v>
      </c>
      <c r="I228">
        <v>9.9</v>
      </c>
      <c r="J228">
        <v>58600</v>
      </c>
      <c r="K228">
        <v>6000</v>
      </c>
      <c r="L228" t="s">
        <v>18</v>
      </c>
      <c r="M228">
        <v>28.9</v>
      </c>
      <c r="N228">
        <v>9.4499999999999993</v>
      </c>
    </row>
    <row r="229" spans="1:14" x14ac:dyDescent="0.25">
      <c r="A229" t="s">
        <v>14</v>
      </c>
      <c r="B229" t="s">
        <v>15</v>
      </c>
      <c r="C229" t="s">
        <v>493</v>
      </c>
      <c r="D229" t="s">
        <v>494</v>
      </c>
      <c r="E229">
        <v>468.5</v>
      </c>
      <c r="F229">
        <v>468.5</v>
      </c>
      <c r="G229">
        <v>486</v>
      </c>
      <c r="H229">
        <v>468.5</v>
      </c>
      <c r="I229">
        <v>484.85</v>
      </c>
      <c r="J229">
        <v>13299112.5</v>
      </c>
      <c r="K229">
        <v>27750</v>
      </c>
      <c r="L229" t="s">
        <v>18</v>
      </c>
      <c r="M229">
        <v>607.4</v>
      </c>
      <c r="N229">
        <v>219.45</v>
      </c>
    </row>
    <row r="230" spans="1:14" x14ac:dyDescent="0.25">
      <c r="A230" t="s">
        <v>14</v>
      </c>
      <c r="B230" t="s">
        <v>15</v>
      </c>
      <c r="C230" t="s">
        <v>495</v>
      </c>
      <c r="D230" t="s">
        <v>496</v>
      </c>
      <c r="E230">
        <v>21.25</v>
      </c>
      <c r="F230">
        <v>21.1</v>
      </c>
      <c r="G230">
        <v>21.8</v>
      </c>
      <c r="H230">
        <v>20.65</v>
      </c>
      <c r="I230">
        <v>20.85</v>
      </c>
      <c r="J230">
        <v>23373600</v>
      </c>
      <c r="K230">
        <v>1092000</v>
      </c>
      <c r="L230" t="s">
        <v>18</v>
      </c>
      <c r="M230">
        <v>301</v>
      </c>
      <c r="N230">
        <v>20.65</v>
      </c>
    </row>
    <row r="231" spans="1:14" x14ac:dyDescent="0.25">
      <c r="A231" t="s">
        <v>14</v>
      </c>
      <c r="B231" t="s">
        <v>15</v>
      </c>
      <c r="C231" t="s">
        <v>497</v>
      </c>
      <c r="D231" t="s">
        <v>498</v>
      </c>
      <c r="E231">
        <v>45.5</v>
      </c>
      <c r="F231">
        <v>43.15</v>
      </c>
      <c r="G231">
        <v>43.15</v>
      </c>
      <c r="H231">
        <v>37.799999999999997</v>
      </c>
      <c r="I231">
        <v>41</v>
      </c>
      <c r="J231">
        <v>1700400</v>
      </c>
      <c r="K231">
        <v>42000</v>
      </c>
      <c r="L231" t="s">
        <v>18</v>
      </c>
      <c r="M231">
        <v>84.45</v>
      </c>
      <c r="N231">
        <v>37.799999999999997</v>
      </c>
    </row>
    <row r="232" spans="1:14" x14ac:dyDescent="0.25">
      <c r="A232" t="s">
        <v>14</v>
      </c>
      <c r="B232" t="s">
        <v>33</v>
      </c>
      <c r="C232" t="s">
        <v>499</v>
      </c>
      <c r="D232" t="s">
        <v>500</v>
      </c>
      <c r="E232">
        <v>79.2</v>
      </c>
      <c r="F232">
        <v>80</v>
      </c>
      <c r="G232">
        <v>83</v>
      </c>
      <c r="H232">
        <v>80</v>
      </c>
      <c r="I232">
        <v>82.1</v>
      </c>
      <c r="J232">
        <v>5510400</v>
      </c>
      <c r="K232">
        <v>67200</v>
      </c>
      <c r="L232" t="s">
        <v>18</v>
      </c>
      <c r="M232">
        <v>101.15</v>
      </c>
      <c r="N232">
        <v>25.5</v>
      </c>
    </row>
    <row r="233" spans="1:14" x14ac:dyDescent="0.25">
      <c r="A233" t="s">
        <v>14</v>
      </c>
      <c r="B233" t="s">
        <v>15</v>
      </c>
      <c r="C233" t="s">
        <v>501</v>
      </c>
      <c r="D233" t="s">
        <v>502</v>
      </c>
      <c r="E233">
        <v>84.9</v>
      </c>
      <c r="F233">
        <v>81.150000000000006</v>
      </c>
      <c r="G233">
        <v>81.150000000000006</v>
      </c>
      <c r="H233">
        <v>81</v>
      </c>
      <c r="I233">
        <v>81</v>
      </c>
      <c r="J233">
        <v>291900</v>
      </c>
      <c r="K233">
        <v>3600</v>
      </c>
      <c r="L233" t="s">
        <v>18</v>
      </c>
      <c r="M233">
        <v>143</v>
      </c>
      <c r="N233">
        <v>72</v>
      </c>
    </row>
    <row r="234" spans="1:14" x14ac:dyDescent="0.25">
      <c r="A234" t="s">
        <v>14</v>
      </c>
      <c r="B234" t="s">
        <v>15</v>
      </c>
      <c r="C234" t="s">
        <v>503</v>
      </c>
      <c r="D234" t="s">
        <v>504</v>
      </c>
      <c r="E234">
        <v>81</v>
      </c>
      <c r="F234">
        <v>79</v>
      </c>
      <c r="G234">
        <v>80</v>
      </c>
      <c r="H234">
        <v>76.05</v>
      </c>
      <c r="I234">
        <v>80</v>
      </c>
      <c r="J234">
        <v>1512660</v>
      </c>
      <c r="K234">
        <v>19200</v>
      </c>
      <c r="L234" t="s">
        <v>18</v>
      </c>
      <c r="M234">
        <v>119.1</v>
      </c>
      <c r="N234">
        <v>51.6</v>
      </c>
    </row>
    <row r="235" spans="1:14" x14ac:dyDescent="0.25">
      <c r="A235" t="s">
        <v>14</v>
      </c>
      <c r="B235" t="s">
        <v>33</v>
      </c>
      <c r="C235" t="s">
        <v>505</v>
      </c>
      <c r="D235" t="s">
        <v>506</v>
      </c>
      <c r="E235">
        <v>56.65</v>
      </c>
      <c r="F235">
        <v>59</v>
      </c>
      <c r="G235">
        <v>59</v>
      </c>
      <c r="H235">
        <v>54.7</v>
      </c>
      <c r="I235">
        <v>57.9</v>
      </c>
      <c r="J235">
        <v>1206150</v>
      </c>
      <c r="K235">
        <v>21000</v>
      </c>
      <c r="L235" t="s">
        <v>18</v>
      </c>
      <c r="M235">
        <v>72.900000000000006</v>
      </c>
      <c r="N235">
        <v>37.049999999999997</v>
      </c>
    </row>
    <row r="236" spans="1:14" x14ac:dyDescent="0.25">
      <c r="A236" t="s">
        <v>14</v>
      </c>
      <c r="B236" t="s">
        <v>15</v>
      </c>
      <c r="C236" t="s">
        <v>507</v>
      </c>
      <c r="D236" t="s">
        <v>508</v>
      </c>
      <c r="E236">
        <v>60.9</v>
      </c>
      <c r="F236">
        <v>60.9</v>
      </c>
      <c r="G236">
        <v>60.9</v>
      </c>
      <c r="H236">
        <v>60.9</v>
      </c>
      <c r="I236">
        <v>60.9</v>
      </c>
      <c r="J236">
        <v>194880</v>
      </c>
      <c r="K236">
        <v>3200</v>
      </c>
      <c r="L236" t="s">
        <v>18</v>
      </c>
      <c r="M236">
        <v>119.95</v>
      </c>
      <c r="N236">
        <v>55.75</v>
      </c>
    </row>
    <row r="237" spans="1:14" x14ac:dyDescent="0.25">
      <c r="A237" t="s">
        <v>14</v>
      </c>
      <c r="B237" t="s">
        <v>15</v>
      </c>
      <c r="C237" t="s">
        <v>509</v>
      </c>
      <c r="D237" t="s">
        <v>510</v>
      </c>
      <c r="E237">
        <v>171.05</v>
      </c>
      <c r="F237">
        <v>171.05</v>
      </c>
      <c r="G237">
        <v>174.75</v>
      </c>
      <c r="H237">
        <v>169.95</v>
      </c>
      <c r="I237">
        <v>171.45</v>
      </c>
      <c r="J237">
        <v>24496080</v>
      </c>
      <c r="K237">
        <v>142400</v>
      </c>
      <c r="L237" t="s">
        <v>18</v>
      </c>
      <c r="M237">
        <v>229.9</v>
      </c>
      <c r="N237">
        <v>127</v>
      </c>
    </row>
    <row r="238" spans="1:14" x14ac:dyDescent="0.25">
      <c r="A238" t="s">
        <v>14</v>
      </c>
      <c r="B238" t="s">
        <v>15</v>
      </c>
      <c r="C238" t="s">
        <v>511</v>
      </c>
      <c r="D238" t="s">
        <v>512</v>
      </c>
      <c r="E238">
        <v>13.25</v>
      </c>
      <c r="F238">
        <v>13.55</v>
      </c>
      <c r="G238">
        <v>13.9</v>
      </c>
      <c r="H238">
        <v>13.55</v>
      </c>
      <c r="I238">
        <v>13.9</v>
      </c>
      <c r="J238">
        <v>747300</v>
      </c>
      <c r="K238">
        <v>54000</v>
      </c>
      <c r="L238" t="s">
        <v>18</v>
      </c>
      <c r="M238">
        <v>43.05</v>
      </c>
      <c r="N238">
        <v>10.95</v>
      </c>
    </row>
    <row r="239" spans="1:14" x14ac:dyDescent="0.25">
      <c r="A239" t="s">
        <v>14</v>
      </c>
      <c r="B239" t="s">
        <v>15</v>
      </c>
      <c r="C239" t="s">
        <v>513</v>
      </c>
      <c r="D239" t="s">
        <v>514</v>
      </c>
      <c r="E239">
        <v>80.349999999999994</v>
      </c>
      <c r="F239">
        <v>81.75</v>
      </c>
      <c r="G239">
        <v>81.75</v>
      </c>
      <c r="H239">
        <v>75</v>
      </c>
      <c r="I239">
        <v>75.3</v>
      </c>
      <c r="J239">
        <v>1634340</v>
      </c>
      <c r="K239">
        <v>21600</v>
      </c>
      <c r="L239" t="s">
        <v>18</v>
      </c>
      <c r="M239">
        <v>113.4</v>
      </c>
      <c r="N239">
        <v>71</v>
      </c>
    </row>
    <row r="240" spans="1:14" x14ac:dyDescent="0.25">
      <c r="A240" t="s">
        <v>14</v>
      </c>
      <c r="B240" t="s">
        <v>15</v>
      </c>
      <c r="C240" t="s">
        <v>515</v>
      </c>
      <c r="D240" t="s">
        <v>516</v>
      </c>
      <c r="E240">
        <v>98</v>
      </c>
      <c r="F240">
        <v>100</v>
      </c>
      <c r="G240">
        <v>102.35</v>
      </c>
      <c r="H240">
        <v>100</v>
      </c>
      <c r="I240">
        <v>100.2</v>
      </c>
      <c r="J240">
        <v>401960</v>
      </c>
      <c r="K240">
        <v>4000</v>
      </c>
      <c r="L240" t="s">
        <v>18</v>
      </c>
      <c r="M240">
        <v>206.85</v>
      </c>
      <c r="N240">
        <v>95</v>
      </c>
    </row>
    <row r="241" spans="1:14" x14ac:dyDescent="0.25">
      <c r="A241" t="s">
        <v>14</v>
      </c>
      <c r="B241" t="s">
        <v>15</v>
      </c>
      <c r="C241" t="s">
        <v>517</v>
      </c>
      <c r="D241" t="s">
        <v>518</v>
      </c>
      <c r="E241">
        <v>239.95</v>
      </c>
      <c r="F241">
        <v>239.95</v>
      </c>
      <c r="G241">
        <v>239.95</v>
      </c>
      <c r="H241">
        <v>228.5</v>
      </c>
      <c r="I241">
        <v>229.25</v>
      </c>
      <c r="J241">
        <v>1615500</v>
      </c>
      <c r="K241">
        <v>7000</v>
      </c>
      <c r="L241" t="s">
        <v>18</v>
      </c>
      <c r="M241">
        <v>241.55</v>
      </c>
      <c r="N241">
        <v>126.3</v>
      </c>
    </row>
    <row r="242" spans="1:14" x14ac:dyDescent="0.25">
      <c r="A242" t="s">
        <v>14</v>
      </c>
      <c r="B242" t="s">
        <v>33</v>
      </c>
      <c r="C242" t="s">
        <v>519</v>
      </c>
      <c r="D242" t="s">
        <v>520</v>
      </c>
      <c r="E242">
        <v>3.65</v>
      </c>
      <c r="F242">
        <v>3.65</v>
      </c>
      <c r="G242">
        <v>3.65</v>
      </c>
      <c r="H242">
        <v>3.6</v>
      </c>
      <c r="I242">
        <v>3.6</v>
      </c>
      <c r="J242">
        <v>86800</v>
      </c>
      <c r="K242">
        <v>24000</v>
      </c>
      <c r="L242" t="s">
        <v>18</v>
      </c>
      <c r="M242">
        <v>10.6</v>
      </c>
      <c r="N242">
        <v>3.05</v>
      </c>
    </row>
    <row r="243" spans="1:14" x14ac:dyDescent="0.25">
      <c r="A243" t="s">
        <v>14</v>
      </c>
      <c r="B243" t="s">
        <v>15</v>
      </c>
      <c r="C243" t="s">
        <v>521</v>
      </c>
      <c r="D243" t="s">
        <v>522</v>
      </c>
      <c r="E243">
        <v>15.7</v>
      </c>
      <c r="F243">
        <v>15.15</v>
      </c>
      <c r="G243">
        <v>15.95</v>
      </c>
      <c r="H243">
        <v>15.15</v>
      </c>
      <c r="I243">
        <v>15.95</v>
      </c>
      <c r="J243">
        <v>161025</v>
      </c>
      <c r="K243">
        <v>10500</v>
      </c>
      <c r="L243" t="s">
        <v>18</v>
      </c>
      <c r="M243">
        <v>85</v>
      </c>
      <c r="N243">
        <v>15.15</v>
      </c>
    </row>
    <row r="244" spans="1:14" x14ac:dyDescent="0.25">
      <c r="A244" t="s">
        <v>14</v>
      </c>
      <c r="B244" t="s">
        <v>15</v>
      </c>
      <c r="C244" t="s">
        <v>523</v>
      </c>
      <c r="D244" t="s">
        <v>524</v>
      </c>
      <c r="E244">
        <v>25</v>
      </c>
      <c r="F244">
        <v>25</v>
      </c>
      <c r="G244">
        <v>26</v>
      </c>
      <c r="H244">
        <v>25</v>
      </c>
      <c r="I244">
        <v>26</v>
      </c>
      <c r="J244">
        <v>245280</v>
      </c>
      <c r="K244">
        <v>9600</v>
      </c>
      <c r="L244" t="s">
        <v>18</v>
      </c>
      <c r="M244">
        <v>54</v>
      </c>
      <c r="N244">
        <v>23.35</v>
      </c>
    </row>
    <row r="245" spans="1:14" x14ac:dyDescent="0.25">
      <c r="A245" t="s">
        <v>14</v>
      </c>
      <c r="B245" t="s">
        <v>15</v>
      </c>
      <c r="C245" t="s">
        <v>525</v>
      </c>
      <c r="D245" t="s">
        <v>526</v>
      </c>
      <c r="E245">
        <v>15.4</v>
      </c>
      <c r="F245">
        <v>16.95</v>
      </c>
      <c r="G245">
        <v>16.95</v>
      </c>
      <c r="H245">
        <v>15.15</v>
      </c>
      <c r="I245">
        <v>15.25</v>
      </c>
      <c r="J245">
        <v>78700</v>
      </c>
      <c r="K245">
        <v>5000</v>
      </c>
      <c r="L245" t="s">
        <v>18</v>
      </c>
      <c r="M245">
        <v>27.4</v>
      </c>
      <c r="N245">
        <v>15.15</v>
      </c>
    </row>
    <row r="246" spans="1:14" x14ac:dyDescent="0.25">
      <c r="A246" t="s">
        <v>14</v>
      </c>
      <c r="B246" t="s">
        <v>15</v>
      </c>
      <c r="C246" t="s">
        <v>527</v>
      </c>
      <c r="D246" t="s">
        <v>528</v>
      </c>
      <c r="E246">
        <v>115.9</v>
      </c>
      <c r="F246">
        <v>110.7</v>
      </c>
      <c r="G246">
        <v>110.7</v>
      </c>
      <c r="H246">
        <v>110.1</v>
      </c>
      <c r="I246">
        <v>110.4</v>
      </c>
      <c r="J246">
        <v>264960</v>
      </c>
      <c r="K246">
        <v>2400</v>
      </c>
      <c r="L246" t="s">
        <v>18</v>
      </c>
      <c r="M246">
        <v>156</v>
      </c>
      <c r="N246">
        <v>77.150000000000006</v>
      </c>
    </row>
    <row r="247" spans="1:14" x14ac:dyDescent="0.25">
      <c r="A247" t="s">
        <v>14</v>
      </c>
      <c r="B247" t="s">
        <v>15</v>
      </c>
      <c r="C247" t="s">
        <v>529</v>
      </c>
      <c r="D247" t="s">
        <v>530</v>
      </c>
      <c r="E247">
        <v>55.65</v>
      </c>
      <c r="F247">
        <v>52.9</v>
      </c>
      <c r="G247">
        <v>52.9</v>
      </c>
      <c r="H247">
        <v>52.9</v>
      </c>
      <c r="I247">
        <v>52.9</v>
      </c>
      <c r="J247">
        <v>730020</v>
      </c>
      <c r="K247">
        <v>13800</v>
      </c>
      <c r="L247" t="s">
        <v>18</v>
      </c>
      <c r="M247">
        <v>390.35</v>
      </c>
      <c r="N247">
        <v>46.75</v>
      </c>
    </row>
    <row r="248" spans="1:14" x14ac:dyDescent="0.25">
      <c r="A248" t="s">
        <v>14</v>
      </c>
      <c r="B248" t="s">
        <v>15</v>
      </c>
      <c r="C248" t="s">
        <v>531</v>
      </c>
      <c r="D248" t="s">
        <v>532</v>
      </c>
      <c r="E248">
        <v>310.95</v>
      </c>
      <c r="F248">
        <v>306.14999999999998</v>
      </c>
      <c r="G248">
        <v>313</v>
      </c>
      <c r="H248">
        <v>300.64999999999998</v>
      </c>
      <c r="I248">
        <v>311.75</v>
      </c>
      <c r="J248">
        <v>15491040</v>
      </c>
      <c r="K248">
        <v>50400</v>
      </c>
      <c r="L248" t="s">
        <v>18</v>
      </c>
      <c r="M248">
        <v>360</v>
      </c>
      <c r="N248">
        <v>144.9</v>
      </c>
    </row>
    <row r="249" spans="1:14" x14ac:dyDescent="0.25">
      <c r="A249" t="s">
        <v>14</v>
      </c>
      <c r="B249" t="s">
        <v>15</v>
      </c>
      <c r="C249" t="s">
        <v>535</v>
      </c>
      <c r="D249" t="s">
        <v>536</v>
      </c>
      <c r="E249">
        <v>117.9</v>
      </c>
      <c r="F249">
        <v>110.35</v>
      </c>
      <c r="G249">
        <v>117.5</v>
      </c>
      <c r="H249">
        <v>110.35</v>
      </c>
      <c r="I249">
        <v>117.5</v>
      </c>
      <c r="J249">
        <v>68355</v>
      </c>
      <c r="K249">
        <v>600</v>
      </c>
      <c r="L249" t="s">
        <v>18</v>
      </c>
      <c r="M249">
        <v>276.89999999999998</v>
      </c>
      <c r="N249">
        <v>100</v>
      </c>
    </row>
    <row r="250" spans="1:14" x14ac:dyDescent="0.25">
      <c r="A250" t="s">
        <v>14</v>
      </c>
      <c r="B250" t="s">
        <v>15</v>
      </c>
      <c r="C250" t="s">
        <v>537</v>
      </c>
      <c r="D250" t="s">
        <v>538</v>
      </c>
      <c r="E250">
        <v>304.35000000000002</v>
      </c>
      <c r="F250">
        <v>307</v>
      </c>
      <c r="G250">
        <v>308</v>
      </c>
      <c r="H250">
        <v>300.39999999999998</v>
      </c>
      <c r="I250">
        <v>301.89999999999998</v>
      </c>
      <c r="J250">
        <v>10168440</v>
      </c>
      <c r="K250">
        <v>33600</v>
      </c>
      <c r="L250" t="s">
        <v>18</v>
      </c>
      <c r="M250">
        <v>355</v>
      </c>
      <c r="N250">
        <v>98.15</v>
      </c>
    </row>
    <row r="251" spans="1:14" x14ac:dyDescent="0.25">
      <c r="A251" t="s">
        <v>14</v>
      </c>
      <c r="B251" t="s">
        <v>15</v>
      </c>
      <c r="C251" t="s">
        <v>539</v>
      </c>
      <c r="D251" t="s">
        <v>540</v>
      </c>
      <c r="E251">
        <v>34.75</v>
      </c>
      <c r="F251">
        <v>34.700000000000003</v>
      </c>
      <c r="G251">
        <v>35</v>
      </c>
      <c r="H251">
        <v>34.700000000000003</v>
      </c>
      <c r="I251">
        <v>35</v>
      </c>
      <c r="J251">
        <v>279400</v>
      </c>
      <c r="K251">
        <v>8000</v>
      </c>
      <c r="L251" t="s">
        <v>18</v>
      </c>
      <c r="M251">
        <v>74.45</v>
      </c>
      <c r="N251">
        <v>28.1</v>
      </c>
    </row>
    <row r="252" spans="1:14" x14ac:dyDescent="0.25">
      <c r="A252" t="s">
        <v>14</v>
      </c>
      <c r="B252" t="s">
        <v>15</v>
      </c>
      <c r="C252" t="s">
        <v>541</v>
      </c>
      <c r="D252" t="s">
        <v>542</v>
      </c>
      <c r="E252">
        <v>81.2</v>
      </c>
      <c r="F252">
        <v>82.5</v>
      </c>
      <c r="G252">
        <v>82.5</v>
      </c>
      <c r="H252">
        <v>77.5</v>
      </c>
      <c r="I252">
        <v>78</v>
      </c>
      <c r="J252">
        <v>1525200</v>
      </c>
      <c r="K252">
        <v>19200</v>
      </c>
      <c r="L252" t="s">
        <v>18</v>
      </c>
      <c r="M252">
        <v>107.55</v>
      </c>
      <c r="N252">
        <v>67.95</v>
      </c>
    </row>
    <row r="253" spans="1:14" x14ac:dyDescent="0.25">
      <c r="A253" t="s">
        <v>14</v>
      </c>
      <c r="B253" t="s">
        <v>15</v>
      </c>
      <c r="C253" t="s">
        <v>543</v>
      </c>
      <c r="D253" t="s">
        <v>544</v>
      </c>
      <c r="E253">
        <v>1581.75</v>
      </c>
      <c r="F253">
        <v>1550.05</v>
      </c>
      <c r="G253">
        <v>1598.9</v>
      </c>
      <c r="H253">
        <v>1500</v>
      </c>
      <c r="I253">
        <v>1561.85</v>
      </c>
      <c r="J253">
        <v>80955348.75</v>
      </c>
      <c r="K253">
        <v>51750</v>
      </c>
      <c r="L253" t="s">
        <v>18</v>
      </c>
      <c r="M253">
        <v>3064</v>
      </c>
      <c r="N253">
        <v>1000</v>
      </c>
    </row>
    <row r="254" spans="1:14" x14ac:dyDescent="0.25">
      <c r="A254" t="s">
        <v>14</v>
      </c>
      <c r="B254" t="s">
        <v>33</v>
      </c>
      <c r="C254" t="s">
        <v>545</v>
      </c>
      <c r="D254" t="s">
        <v>546</v>
      </c>
      <c r="E254">
        <v>450.25</v>
      </c>
      <c r="F254">
        <v>455</v>
      </c>
      <c r="G254">
        <v>458.9</v>
      </c>
      <c r="H254">
        <v>442</v>
      </c>
      <c r="I254">
        <v>448.25</v>
      </c>
      <c r="J254">
        <v>6107910</v>
      </c>
      <c r="K254">
        <v>13600</v>
      </c>
      <c r="L254" t="s">
        <v>18</v>
      </c>
      <c r="M254">
        <v>835</v>
      </c>
      <c r="N254">
        <v>186.25</v>
      </c>
    </row>
    <row r="255" spans="1:14" x14ac:dyDescent="0.25">
      <c r="A255" t="s">
        <v>14</v>
      </c>
      <c r="B255" t="s">
        <v>15</v>
      </c>
      <c r="C255" t="s">
        <v>547</v>
      </c>
      <c r="D255" t="s">
        <v>548</v>
      </c>
      <c r="E255">
        <v>237.7</v>
      </c>
      <c r="F255">
        <v>248.6</v>
      </c>
      <c r="G255">
        <v>249.55</v>
      </c>
      <c r="H255">
        <v>242.45</v>
      </c>
      <c r="I255">
        <v>247.9</v>
      </c>
      <c r="J255">
        <v>10562430</v>
      </c>
      <c r="K255">
        <v>42500</v>
      </c>
      <c r="L255" t="s">
        <v>18</v>
      </c>
      <c r="M255">
        <v>930</v>
      </c>
      <c r="N255">
        <v>200.1</v>
      </c>
    </row>
    <row r="256" spans="1:14" x14ac:dyDescent="0.25">
      <c r="A256" t="s">
        <v>14</v>
      </c>
      <c r="B256" t="s">
        <v>33</v>
      </c>
      <c r="C256" t="s">
        <v>549</v>
      </c>
      <c r="D256" t="s">
        <v>550</v>
      </c>
      <c r="E256">
        <v>293</v>
      </c>
      <c r="F256">
        <v>290</v>
      </c>
      <c r="G256">
        <v>300.5</v>
      </c>
      <c r="H256">
        <v>278.35000000000002</v>
      </c>
      <c r="I256">
        <v>278.35000000000002</v>
      </c>
      <c r="J256">
        <v>1450850</v>
      </c>
      <c r="K256">
        <v>5000</v>
      </c>
      <c r="L256" t="s">
        <v>18</v>
      </c>
      <c r="M256">
        <v>318.10000000000002</v>
      </c>
      <c r="N256">
        <v>122.85</v>
      </c>
    </row>
    <row r="257" spans="1:14" x14ac:dyDescent="0.25">
      <c r="A257" t="s">
        <v>14</v>
      </c>
      <c r="B257" t="s">
        <v>15</v>
      </c>
      <c r="C257" t="s">
        <v>551</v>
      </c>
      <c r="D257" t="s">
        <v>552</v>
      </c>
      <c r="E257">
        <v>197.85</v>
      </c>
      <c r="F257">
        <v>195</v>
      </c>
      <c r="G257">
        <v>199</v>
      </c>
      <c r="H257">
        <v>185</v>
      </c>
      <c r="I257">
        <v>199</v>
      </c>
      <c r="J257">
        <v>937770</v>
      </c>
      <c r="K257">
        <v>4800</v>
      </c>
      <c r="L257" t="s">
        <v>18</v>
      </c>
      <c r="M257">
        <v>294</v>
      </c>
      <c r="N257">
        <v>145</v>
      </c>
    </row>
    <row r="258" spans="1:14" x14ac:dyDescent="0.25">
      <c r="A258" t="s">
        <v>14</v>
      </c>
      <c r="B258" t="s">
        <v>15</v>
      </c>
      <c r="C258" t="s">
        <v>553</v>
      </c>
      <c r="D258" t="s">
        <v>554</v>
      </c>
      <c r="E258">
        <v>39.200000000000003</v>
      </c>
      <c r="F258">
        <v>39.200000000000003</v>
      </c>
      <c r="G258">
        <v>40</v>
      </c>
      <c r="H258">
        <v>38.5</v>
      </c>
      <c r="I258">
        <v>38.5</v>
      </c>
      <c r="J258">
        <v>187440</v>
      </c>
      <c r="K258">
        <v>4800</v>
      </c>
      <c r="L258" t="s">
        <v>18</v>
      </c>
      <c r="M258">
        <v>84</v>
      </c>
      <c r="N258">
        <v>34.1</v>
      </c>
    </row>
    <row r="259" spans="1:14" x14ac:dyDescent="0.25">
      <c r="A259" t="s">
        <v>14</v>
      </c>
      <c r="B259" t="s">
        <v>15</v>
      </c>
      <c r="C259" t="s">
        <v>557</v>
      </c>
      <c r="D259" t="s">
        <v>558</v>
      </c>
      <c r="E259">
        <v>41</v>
      </c>
      <c r="F259">
        <v>39.6</v>
      </c>
      <c r="G259">
        <v>43.95</v>
      </c>
      <c r="H259">
        <v>39.6</v>
      </c>
      <c r="I259">
        <v>43.95</v>
      </c>
      <c r="J259">
        <v>153000</v>
      </c>
      <c r="K259">
        <v>3600</v>
      </c>
      <c r="L259" t="s">
        <v>18</v>
      </c>
      <c r="M259">
        <v>90</v>
      </c>
      <c r="N259">
        <v>39.6</v>
      </c>
    </row>
    <row r="260" spans="1:14" x14ac:dyDescent="0.25">
      <c r="A260" t="s">
        <v>14</v>
      </c>
      <c r="B260" t="s">
        <v>15</v>
      </c>
      <c r="C260" t="s">
        <v>559</v>
      </c>
      <c r="D260" t="s">
        <v>560</v>
      </c>
      <c r="E260">
        <v>27</v>
      </c>
      <c r="F260">
        <v>28</v>
      </c>
      <c r="G260">
        <v>28</v>
      </c>
      <c r="H260">
        <v>27.25</v>
      </c>
      <c r="I260">
        <v>27.5</v>
      </c>
      <c r="J260">
        <v>726000</v>
      </c>
      <c r="K260">
        <v>26000</v>
      </c>
      <c r="L260" t="s">
        <v>18</v>
      </c>
      <c r="M260">
        <v>78</v>
      </c>
      <c r="N260">
        <v>25.1</v>
      </c>
    </row>
    <row r="261" spans="1:14" x14ac:dyDescent="0.25">
      <c r="A261" t="s">
        <v>14</v>
      </c>
      <c r="B261" t="s">
        <v>15</v>
      </c>
      <c r="C261" t="s">
        <v>561</v>
      </c>
      <c r="D261" t="s">
        <v>562</v>
      </c>
      <c r="E261">
        <v>619.4</v>
      </c>
      <c r="F261">
        <v>588.45000000000005</v>
      </c>
      <c r="G261">
        <v>638</v>
      </c>
      <c r="H261">
        <v>588.45000000000005</v>
      </c>
      <c r="I261">
        <v>628.95000000000005</v>
      </c>
      <c r="J261">
        <v>5611337.5</v>
      </c>
      <c r="K261">
        <v>9250</v>
      </c>
      <c r="L261" t="s">
        <v>18</v>
      </c>
      <c r="M261">
        <v>662</v>
      </c>
      <c r="N261">
        <v>311.64999999999998</v>
      </c>
    </row>
    <row r="262" spans="1:14" x14ac:dyDescent="0.25">
      <c r="A262" t="s">
        <v>14</v>
      </c>
      <c r="B262" t="s">
        <v>15</v>
      </c>
      <c r="C262" t="s">
        <v>563</v>
      </c>
      <c r="D262" t="s">
        <v>564</v>
      </c>
      <c r="E262">
        <v>220.3</v>
      </c>
      <c r="F262">
        <v>218.1</v>
      </c>
      <c r="G262">
        <v>224</v>
      </c>
      <c r="H262">
        <v>218</v>
      </c>
      <c r="I262">
        <v>222</v>
      </c>
      <c r="J262">
        <v>1053780</v>
      </c>
      <c r="K262">
        <v>4800</v>
      </c>
      <c r="L262" t="s">
        <v>18</v>
      </c>
      <c r="M262">
        <v>306.39999999999998</v>
      </c>
      <c r="N262">
        <v>169</v>
      </c>
    </row>
    <row r="263" spans="1:14" x14ac:dyDescent="0.25">
      <c r="A263" t="s">
        <v>14</v>
      </c>
      <c r="B263" t="s">
        <v>15</v>
      </c>
      <c r="C263" t="s">
        <v>565</v>
      </c>
      <c r="D263" t="s">
        <v>566</v>
      </c>
      <c r="E263">
        <v>83</v>
      </c>
      <c r="F263">
        <v>80.5</v>
      </c>
      <c r="G263">
        <v>80.5</v>
      </c>
      <c r="H263">
        <v>80.5</v>
      </c>
      <c r="I263">
        <v>80.5</v>
      </c>
      <c r="J263">
        <v>80500</v>
      </c>
      <c r="K263">
        <v>1000</v>
      </c>
      <c r="L263" t="s">
        <v>18</v>
      </c>
      <c r="M263">
        <v>126.95</v>
      </c>
      <c r="N263">
        <v>63.05</v>
      </c>
    </row>
    <row r="264" spans="1:14" x14ac:dyDescent="0.25">
      <c r="A264" t="s">
        <v>14</v>
      </c>
      <c r="B264" t="s">
        <v>15</v>
      </c>
      <c r="C264" t="s">
        <v>567</v>
      </c>
      <c r="D264" t="s">
        <v>568</v>
      </c>
      <c r="E264">
        <v>136.75</v>
      </c>
      <c r="F264">
        <v>134</v>
      </c>
      <c r="G264">
        <v>147.44999999999999</v>
      </c>
      <c r="H264">
        <v>134</v>
      </c>
      <c r="I264">
        <v>141.85</v>
      </c>
      <c r="J264">
        <v>5900040</v>
      </c>
      <c r="K264">
        <v>42000</v>
      </c>
      <c r="L264" t="s">
        <v>18</v>
      </c>
      <c r="M264">
        <v>268.89999999999998</v>
      </c>
      <c r="N264">
        <v>134</v>
      </c>
    </row>
    <row r="265" spans="1:14" x14ac:dyDescent="0.25">
      <c r="A265" t="s">
        <v>14</v>
      </c>
      <c r="B265" t="s">
        <v>15</v>
      </c>
      <c r="C265" t="s">
        <v>571</v>
      </c>
      <c r="D265" t="s">
        <v>572</v>
      </c>
      <c r="E265">
        <v>302</v>
      </c>
      <c r="F265">
        <v>303</v>
      </c>
      <c r="G265">
        <v>310</v>
      </c>
      <c r="H265">
        <v>303</v>
      </c>
      <c r="I265">
        <v>310</v>
      </c>
      <c r="J265">
        <v>368700</v>
      </c>
      <c r="K265">
        <v>1200</v>
      </c>
      <c r="L265" t="s">
        <v>18</v>
      </c>
      <c r="M265">
        <v>461</v>
      </c>
      <c r="N265">
        <v>280.05</v>
      </c>
    </row>
    <row r="266" spans="1:14" x14ac:dyDescent="0.25">
      <c r="A266" t="s">
        <v>14</v>
      </c>
      <c r="B266" t="s">
        <v>33</v>
      </c>
      <c r="C266" t="s">
        <v>573</v>
      </c>
      <c r="D266" t="s">
        <v>574</v>
      </c>
      <c r="E266">
        <v>66</v>
      </c>
      <c r="F266">
        <v>66</v>
      </c>
      <c r="G266">
        <v>66</v>
      </c>
      <c r="H266">
        <v>66</v>
      </c>
      <c r="I266">
        <v>66</v>
      </c>
      <c r="J266">
        <v>66000</v>
      </c>
      <c r="K266">
        <v>1000</v>
      </c>
      <c r="L266" t="s">
        <v>18</v>
      </c>
      <c r="M266">
        <v>99.5</v>
      </c>
      <c r="N266">
        <v>50.55</v>
      </c>
    </row>
    <row r="267" spans="1:14" x14ac:dyDescent="0.25">
      <c r="A267" t="s">
        <v>14</v>
      </c>
      <c r="B267" t="s">
        <v>575</v>
      </c>
      <c r="C267" t="s">
        <v>576</v>
      </c>
      <c r="D267" t="s">
        <v>577</v>
      </c>
      <c r="E267">
        <v>3.55</v>
      </c>
      <c r="F267">
        <v>3.4</v>
      </c>
      <c r="G267">
        <v>3.4</v>
      </c>
      <c r="H267">
        <v>3.4</v>
      </c>
      <c r="I267">
        <v>3.4</v>
      </c>
      <c r="J267">
        <v>10200</v>
      </c>
      <c r="K267">
        <v>3000</v>
      </c>
      <c r="L267" t="s">
        <v>18</v>
      </c>
      <c r="M267">
        <v>19.399999999999999</v>
      </c>
      <c r="N267">
        <v>3.4</v>
      </c>
    </row>
    <row r="268" spans="1:14" x14ac:dyDescent="0.25">
      <c r="A268" t="s">
        <v>14</v>
      </c>
      <c r="B268" t="s">
        <v>15</v>
      </c>
      <c r="C268" t="s">
        <v>578</v>
      </c>
      <c r="D268" t="s">
        <v>579</v>
      </c>
      <c r="E268">
        <v>257</v>
      </c>
      <c r="F268">
        <v>257</v>
      </c>
      <c r="G268">
        <v>257</v>
      </c>
      <c r="H268">
        <v>236</v>
      </c>
      <c r="I268">
        <v>236.45</v>
      </c>
      <c r="J268">
        <v>1941760</v>
      </c>
      <c r="K268">
        <v>8000</v>
      </c>
      <c r="L268" t="s">
        <v>18</v>
      </c>
      <c r="M268">
        <v>267.5</v>
      </c>
      <c r="N268">
        <v>150</v>
      </c>
    </row>
    <row r="269" spans="1:14" x14ac:dyDescent="0.25">
      <c r="A269" t="s">
        <v>14</v>
      </c>
      <c r="B269" t="s">
        <v>15</v>
      </c>
      <c r="C269" t="s">
        <v>580</v>
      </c>
      <c r="D269" t="s">
        <v>581</v>
      </c>
      <c r="E269">
        <v>195.55</v>
      </c>
      <c r="F269">
        <v>194.45</v>
      </c>
      <c r="G269">
        <v>203</v>
      </c>
      <c r="H269">
        <v>194.45</v>
      </c>
      <c r="I269">
        <v>202.5</v>
      </c>
      <c r="J269">
        <v>2926020</v>
      </c>
      <c r="K269">
        <v>14700</v>
      </c>
      <c r="L269" t="s">
        <v>18</v>
      </c>
      <c r="M269">
        <v>327.95</v>
      </c>
      <c r="N269">
        <v>165</v>
      </c>
    </row>
    <row r="270" spans="1:14" x14ac:dyDescent="0.25">
      <c r="A270" t="s">
        <v>14</v>
      </c>
      <c r="B270" t="s">
        <v>15</v>
      </c>
      <c r="C270" t="s">
        <v>582</v>
      </c>
      <c r="D270" t="s">
        <v>583</v>
      </c>
      <c r="E270">
        <v>19.5</v>
      </c>
      <c r="F270">
        <v>19</v>
      </c>
      <c r="G270">
        <v>21.1</v>
      </c>
      <c r="H270">
        <v>19</v>
      </c>
      <c r="I270">
        <v>20.65</v>
      </c>
      <c r="J270">
        <v>204400</v>
      </c>
      <c r="K270">
        <v>10000</v>
      </c>
      <c r="L270" t="s">
        <v>18</v>
      </c>
      <c r="M270">
        <v>29.1</v>
      </c>
      <c r="N270">
        <v>16.75</v>
      </c>
    </row>
    <row r="271" spans="1:14" x14ac:dyDescent="0.25">
      <c r="A271" t="s">
        <v>14</v>
      </c>
      <c r="B271" t="s">
        <v>15</v>
      </c>
      <c r="C271" t="s">
        <v>584</v>
      </c>
      <c r="D271" t="s">
        <v>585</v>
      </c>
      <c r="E271">
        <v>9.5</v>
      </c>
      <c r="F271">
        <v>9.5</v>
      </c>
      <c r="G271">
        <v>9.6</v>
      </c>
      <c r="H271">
        <v>9.5</v>
      </c>
      <c r="I271">
        <v>9.6</v>
      </c>
      <c r="J271">
        <v>114600</v>
      </c>
      <c r="K271">
        <v>12000</v>
      </c>
      <c r="L271" t="s">
        <v>18</v>
      </c>
      <c r="M271">
        <v>42</v>
      </c>
      <c r="N271">
        <v>8.8000000000000007</v>
      </c>
    </row>
    <row r="272" spans="1:14" x14ac:dyDescent="0.25">
      <c r="A272" t="s">
        <v>14</v>
      </c>
      <c r="B272" t="s">
        <v>33</v>
      </c>
      <c r="C272" t="s">
        <v>588</v>
      </c>
      <c r="D272" t="s">
        <v>589</v>
      </c>
      <c r="E272">
        <v>221.8</v>
      </c>
      <c r="F272">
        <v>221</v>
      </c>
      <c r="G272">
        <v>229</v>
      </c>
      <c r="H272">
        <v>218</v>
      </c>
      <c r="I272">
        <v>228.45</v>
      </c>
      <c r="J272">
        <v>999450</v>
      </c>
      <c r="K272">
        <v>4500</v>
      </c>
      <c r="L272" t="s">
        <v>18</v>
      </c>
      <c r="M272">
        <v>356.75</v>
      </c>
      <c r="N272">
        <v>14.25</v>
      </c>
    </row>
    <row r="273" spans="1:14" x14ac:dyDescent="0.25">
      <c r="A273" t="s">
        <v>14</v>
      </c>
      <c r="B273" t="s">
        <v>15</v>
      </c>
      <c r="C273" t="s">
        <v>590</v>
      </c>
      <c r="D273" t="s">
        <v>591</v>
      </c>
      <c r="E273">
        <v>181</v>
      </c>
      <c r="F273">
        <v>180.9</v>
      </c>
      <c r="G273">
        <v>189</v>
      </c>
      <c r="H273">
        <v>180.9</v>
      </c>
      <c r="I273">
        <v>185.05</v>
      </c>
      <c r="J273">
        <v>776730</v>
      </c>
      <c r="K273">
        <v>4200</v>
      </c>
      <c r="L273" t="s">
        <v>18</v>
      </c>
      <c r="M273">
        <v>420</v>
      </c>
      <c r="N273">
        <v>163.19999999999999</v>
      </c>
    </row>
    <row r="274" spans="1:14" x14ac:dyDescent="0.25">
      <c r="A274" t="s">
        <v>14</v>
      </c>
      <c r="B274" t="s">
        <v>15</v>
      </c>
      <c r="C274" t="s">
        <v>592</v>
      </c>
      <c r="D274" t="s">
        <v>593</v>
      </c>
      <c r="E274">
        <v>355</v>
      </c>
      <c r="F274">
        <v>354.5</v>
      </c>
      <c r="G274">
        <v>354.5</v>
      </c>
      <c r="H274">
        <v>348</v>
      </c>
      <c r="I274">
        <v>350.85</v>
      </c>
      <c r="J274">
        <v>14371650</v>
      </c>
      <c r="K274">
        <v>41000</v>
      </c>
      <c r="L274" t="s">
        <v>18</v>
      </c>
      <c r="M274">
        <v>367</v>
      </c>
      <c r="N274">
        <v>101.05</v>
      </c>
    </row>
    <row r="275" spans="1:14" x14ac:dyDescent="0.25">
      <c r="A275" t="s">
        <v>14</v>
      </c>
      <c r="B275" t="s">
        <v>15</v>
      </c>
      <c r="C275" t="s">
        <v>594</v>
      </c>
      <c r="D275" t="s">
        <v>595</v>
      </c>
      <c r="E275">
        <v>52.5</v>
      </c>
      <c r="F275">
        <v>51.5</v>
      </c>
      <c r="G275">
        <v>51.5</v>
      </c>
      <c r="H275">
        <v>51.5</v>
      </c>
      <c r="I275">
        <v>51.5</v>
      </c>
      <c r="J275">
        <v>247200</v>
      </c>
      <c r="K275">
        <v>4800</v>
      </c>
      <c r="L275" t="s">
        <v>18</v>
      </c>
      <c r="M275">
        <v>95</v>
      </c>
      <c r="N275">
        <v>48.1</v>
      </c>
    </row>
    <row r="276" spans="1:14" x14ac:dyDescent="0.25">
      <c r="A276" t="s">
        <v>14</v>
      </c>
      <c r="B276" t="s">
        <v>15</v>
      </c>
      <c r="C276" t="s">
        <v>596</v>
      </c>
      <c r="D276" t="s">
        <v>597</v>
      </c>
      <c r="E276">
        <v>138</v>
      </c>
      <c r="F276">
        <v>132.15</v>
      </c>
      <c r="G276">
        <v>133</v>
      </c>
      <c r="H276">
        <v>132.15</v>
      </c>
      <c r="I276">
        <v>132.55000000000001</v>
      </c>
      <c r="J276">
        <v>424300</v>
      </c>
      <c r="K276">
        <v>3200</v>
      </c>
      <c r="L276" t="s">
        <v>18</v>
      </c>
      <c r="M276">
        <v>216.8</v>
      </c>
      <c r="N276">
        <v>126.5</v>
      </c>
    </row>
    <row r="277" spans="1:14" x14ac:dyDescent="0.25">
      <c r="A277" t="s">
        <v>14</v>
      </c>
      <c r="B277" t="s">
        <v>15</v>
      </c>
      <c r="C277" t="s">
        <v>598</v>
      </c>
      <c r="D277" t="s">
        <v>599</v>
      </c>
      <c r="E277">
        <v>8.8000000000000007</v>
      </c>
      <c r="F277">
        <v>8.75</v>
      </c>
      <c r="G277">
        <v>8.75</v>
      </c>
      <c r="H277">
        <v>8.4</v>
      </c>
      <c r="I277">
        <v>8.5</v>
      </c>
      <c r="J277">
        <v>137000</v>
      </c>
      <c r="K277">
        <v>16000</v>
      </c>
      <c r="L277" t="s">
        <v>18</v>
      </c>
      <c r="M277">
        <v>39</v>
      </c>
      <c r="N277">
        <v>8.4</v>
      </c>
    </row>
    <row r="278" spans="1:14" x14ac:dyDescent="0.25">
      <c r="A278" t="s">
        <v>14</v>
      </c>
      <c r="B278" t="s">
        <v>15</v>
      </c>
      <c r="C278" t="s">
        <v>600</v>
      </c>
      <c r="D278" t="s">
        <v>601</v>
      </c>
      <c r="E278">
        <v>60</v>
      </c>
      <c r="F278">
        <v>61.5</v>
      </c>
      <c r="G278">
        <v>65.95</v>
      </c>
      <c r="H278">
        <v>57.5</v>
      </c>
      <c r="I278">
        <v>62.85</v>
      </c>
      <c r="J278">
        <v>2056150</v>
      </c>
      <c r="K278">
        <v>34000</v>
      </c>
      <c r="L278" t="s">
        <v>18</v>
      </c>
      <c r="M278">
        <v>121.1</v>
      </c>
      <c r="N278">
        <v>52.55</v>
      </c>
    </row>
    <row r="279" spans="1:14" x14ac:dyDescent="0.25">
      <c r="A279" t="s">
        <v>14</v>
      </c>
      <c r="B279" t="s">
        <v>15</v>
      </c>
      <c r="C279" t="s">
        <v>602</v>
      </c>
      <c r="D279" t="s">
        <v>603</v>
      </c>
      <c r="E279">
        <v>36.1</v>
      </c>
      <c r="F279">
        <v>36</v>
      </c>
      <c r="G279">
        <v>36.950000000000003</v>
      </c>
      <c r="H279">
        <v>36</v>
      </c>
      <c r="I279">
        <v>36.950000000000003</v>
      </c>
      <c r="J279">
        <v>761550</v>
      </c>
      <c r="K279">
        <v>21000</v>
      </c>
      <c r="L279" t="s">
        <v>18</v>
      </c>
      <c r="M279">
        <v>44.25</v>
      </c>
      <c r="N279">
        <v>26.05</v>
      </c>
    </row>
    <row r="280" spans="1:14" x14ac:dyDescent="0.25">
      <c r="A280" t="s">
        <v>14</v>
      </c>
      <c r="B280" t="s">
        <v>15</v>
      </c>
      <c r="C280" t="s">
        <v>604</v>
      </c>
      <c r="D280" t="s">
        <v>605</v>
      </c>
      <c r="E280">
        <v>47.05</v>
      </c>
      <c r="F280">
        <v>44.35</v>
      </c>
      <c r="G280">
        <v>45.5</v>
      </c>
      <c r="H280">
        <v>44.1</v>
      </c>
      <c r="I280">
        <v>44.8</v>
      </c>
      <c r="J280">
        <v>572920</v>
      </c>
      <c r="K280">
        <v>12800</v>
      </c>
      <c r="L280" t="s">
        <v>18</v>
      </c>
      <c r="M280">
        <v>143</v>
      </c>
      <c r="N280">
        <v>42.55</v>
      </c>
    </row>
    <row r="281" spans="1:14" x14ac:dyDescent="0.25">
      <c r="A281" t="s">
        <v>14</v>
      </c>
      <c r="B281" t="s">
        <v>15</v>
      </c>
      <c r="C281" t="s">
        <v>607</v>
      </c>
      <c r="D281" t="s">
        <v>608</v>
      </c>
      <c r="E281">
        <v>77.2</v>
      </c>
      <c r="F281">
        <v>77.75</v>
      </c>
      <c r="G281">
        <v>81.2</v>
      </c>
      <c r="H281">
        <v>75.099999999999994</v>
      </c>
      <c r="I281">
        <v>78</v>
      </c>
      <c r="J281">
        <v>1750800</v>
      </c>
      <c r="K281">
        <v>22400</v>
      </c>
      <c r="L281" t="s">
        <v>18</v>
      </c>
      <c r="M281">
        <v>123.65</v>
      </c>
      <c r="N281">
        <v>70.7</v>
      </c>
    </row>
    <row r="282" spans="1:14" x14ac:dyDescent="0.25">
      <c r="A282" t="s">
        <v>14</v>
      </c>
      <c r="B282" t="s">
        <v>15</v>
      </c>
      <c r="C282" t="s">
        <v>611</v>
      </c>
      <c r="D282" t="s">
        <v>612</v>
      </c>
      <c r="E282">
        <v>264.95</v>
      </c>
      <c r="F282">
        <v>286.89999999999998</v>
      </c>
      <c r="G282">
        <v>286.89999999999998</v>
      </c>
      <c r="H282">
        <v>260</v>
      </c>
      <c r="I282">
        <v>269</v>
      </c>
      <c r="J282">
        <v>3434760</v>
      </c>
      <c r="K282">
        <v>12800</v>
      </c>
      <c r="L282" t="s">
        <v>18</v>
      </c>
      <c r="M282">
        <v>362</v>
      </c>
      <c r="N282">
        <v>105.1</v>
      </c>
    </row>
    <row r="283" spans="1:14" x14ac:dyDescent="0.25">
      <c r="A283" t="s">
        <v>14</v>
      </c>
      <c r="B283" t="s">
        <v>15</v>
      </c>
      <c r="C283" t="s">
        <v>613</v>
      </c>
      <c r="D283" t="s">
        <v>614</v>
      </c>
      <c r="E283">
        <v>64.05</v>
      </c>
      <c r="F283">
        <v>65.349999999999994</v>
      </c>
      <c r="G283">
        <v>67.95</v>
      </c>
      <c r="H283">
        <v>63</v>
      </c>
      <c r="I283">
        <v>67.95</v>
      </c>
      <c r="J283">
        <v>314080</v>
      </c>
      <c r="K283">
        <v>4800</v>
      </c>
      <c r="L283" t="s">
        <v>18</v>
      </c>
      <c r="M283">
        <v>136.9</v>
      </c>
      <c r="N283">
        <v>56.9</v>
      </c>
    </row>
    <row r="284" spans="1:14" x14ac:dyDescent="0.25">
      <c r="A284" t="s">
        <v>14</v>
      </c>
      <c r="B284" t="s">
        <v>15</v>
      </c>
      <c r="C284" t="s">
        <v>615</v>
      </c>
      <c r="D284" t="s">
        <v>616</v>
      </c>
      <c r="E284">
        <v>64</v>
      </c>
      <c r="F284">
        <v>60.8</v>
      </c>
      <c r="G284">
        <v>60.8</v>
      </c>
      <c r="H284">
        <v>60.8</v>
      </c>
      <c r="I284">
        <v>60.8</v>
      </c>
      <c r="J284">
        <v>30400</v>
      </c>
      <c r="K284">
        <v>500</v>
      </c>
      <c r="L284" t="s">
        <v>18</v>
      </c>
      <c r="M284">
        <v>273</v>
      </c>
      <c r="N284">
        <v>60.8</v>
      </c>
    </row>
    <row r="285" spans="1:14" x14ac:dyDescent="0.25">
      <c r="A285" t="s">
        <v>14</v>
      </c>
      <c r="B285" t="s">
        <v>15</v>
      </c>
      <c r="C285" t="s">
        <v>617</v>
      </c>
      <c r="D285" t="s">
        <v>618</v>
      </c>
      <c r="E285">
        <v>1200</v>
      </c>
      <c r="F285">
        <v>1248</v>
      </c>
      <c r="G285">
        <v>1248</v>
      </c>
      <c r="H285">
        <v>1248</v>
      </c>
      <c r="I285">
        <v>1248</v>
      </c>
      <c r="J285">
        <v>99840</v>
      </c>
      <c r="K285">
        <v>80</v>
      </c>
      <c r="L285" t="s">
        <v>18</v>
      </c>
      <c r="M285">
        <v>1584</v>
      </c>
      <c r="N285">
        <v>815.1</v>
      </c>
    </row>
    <row r="286" spans="1:14" x14ac:dyDescent="0.25">
      <c r="A286" t="s">
        <v>14</v>
      </c>
      <c r="B286" t="s">
        <v>15</v>
      </c>
      <c r="C286" t="s">
        <v>619</v>
      </c>
      <c r="D286" t="s">
        <v>620</v>
      </c>
      <c r="E286">
        <v>23.85</v>
      </c>
      <c r="F286">
        <v>24</v>
      </c>
      <c r="G286">
        <v>24</v>
      </c>
      <c r="H286">
        <v>23</v>
      </c>
      <c r="I286">
        <v>23.5</v>
      </c>
      <c r="J286">
        <v>238000</v>
      </c>
      <c r="K286">
        <v>10000</v>
      </c>
      <c r="L286" t="s">
        <v>18</v>
      </c>
      <c r="M286">
        <v>62.9</v>
      </c>
      <c r="N286">
        <v>23</v>
      </c>
    </row>
    <row r="287" spans="1:14" x14ac:dyDescent="0.25">
      <c r="A287" t="s">
        <v>14</v>
      </c>
      <c r="B287" t="s">
        <v>15</v>
      </c>
      <c r="C287" t="s">
        <v>621</v>
      </c>
      <c r="D287" t="s">
        <v>622</v>
      </c>
      <c r="E287">
        <v>327.14999999999998</v>
      </c>
      <c r="F287">
        <v>335</v>
      </c>
      <c r="G287">
        <v>337</v>
      </c>
      <c r="H287">
        <v>322.3</v>
      </c>
      <c r="I287">
        <v>324.75</v>
      </c>
      <c r="J287">
        <v>3200887.5</v>
      </c>
      <c r="K287">
        <v>9750</v>
      </c>
      <c r="L287" t="s">
        <v>18</v>
      </c>
      <c r="M287">
        <v>587.95000000000005</v>
      </c>
      <c r="N287">
        <v>119.55</v>
      </c>
    </row>
    <row r="288" spans="1:14" x14ac:dyDescent="0.25">
      <c r="A288" t="s">
        <v>14</v>
      </c>
      <c r="B288" t="s">
        <v>15</v>
      </c>
      <c r="C288" t="s">
        <v>623</v>
      </c>
      <c r="D288" t="s">
        <v>624</v>
      </c>
      <c r="E288">
        <v>66</v>
      </c>
      <c r="F288">
        <v>70</v>
      </c>
      <c r="G288">
        <v>70</v>
      </c>
      <c r="H288">
        <v>67</v>
      </c>
      <c r="I288">
        <v>67</v>
      </c>
      <c r="J288">
        <v>275000</v>
      </c>
      <c r="K288">
        <v>4000</v>
      </c>
      <c r="L288" t="s">
        <v>18</v>
      </c>
      <c r="M288">
        <v>162</v>
      </c>
      <c r="N288">
        <v>65.5</v>
      </c>
    </row>
    <row r="289" spans="1:14" x14ac:dyDescent="0.25">
      <c r="A289" t="s">
        <v>14</v>
      </c>
      <c r="B289" t="s">
        <v>15</v>
      </c>
      <c r="C289" t="s">
        <v>625</v>
      </c>
      <c r="D289" t="s">
        <v>626</v>
      </c>
      <c r="E289">
        <v>100</v>
      </c>
      <c r="F289">
        <v>104</v>
      </c>
      <c r="G289">
        <v>104</v>
      </c>
      <c r="H289">
        <v>96</v>
      </c>
      <c r="I289">
        <v>97.45</v>
      </c>
      <c r="J289">
        <v>3507400</v>
      </c>
      <c r="K289">
        <v>35000</v>
      </c>
      <c r="L289" t="s">
        <v>18</v>
      </c>
      <c r="M289">
        <v>148.75</v>
      </c>
      <c r="N289">
        <v>91</v>
      </c>
    </row>
    <row r="290" spans="1:14" x14ac:dyDescent="0.25">
      <c r="A290" t="s">
        <v>14</v>
      </c>
      <c r="B290" t="s">
        <v>15</v>
      </c>
      <c r="C290" t="s">
        <v>627</v>
      </c>
      <c r="D290" t="s">
        <v>628</v>
      </c>
      <c r="E290">
        <v>80</v>
      </c>
      <c r="F290">
        <v>80.599999999999994</v>
      </c>
      <c r="G290">
        <v>89</v>
      </c>
      <c r="H290">
        <v>80.599999999999994</v>
      </c>
      <c r="I290">
        <v>88.5</v>
      </c>
      <c r="J290">
        <v>1217700</v>
      </c>
      <c r="K290">
        <v>14000</v>
      </c>
      <c r="L290" t="s">
        <v>18</v>
      </c>
      <c r="M290">
        <v>114</v>
      </c>
      <c r="N290">
        <v>72.349999999999994</v>
      </c>
    </row>
    <row r="291" spans="1:14" x14ac:dyDescent="0.25">
      <c r="A291" t="s">
        <v>14</v>
      </c>
      <c r="B291" t="s">
        <v>15</v>
      </c>
      <c r="C291" t="s">
        <v>971</v>
      </c>
      <c r="D291" t="s">
        <v>972</v>
      </c>
      <c r="E291">
        <v>58</v>
      </c>
      <c r="F291">
        <v>55.2</v>
      </c>
      <c r="G291">
        <v>55.2</v>
      </c>
      <c r="H291">
        <v>55.2</v>
      </c>
      <c r="I291">
        <v>55.2</v>
      </c>
      <c r="J291">
        <v>55200</v>
      </c>
      <c r="K291">
        <v>1000</v>
      </c>
      <c r="L291" t="s">
        <v>18</v>
      </c>
      <c r="M291">
        <v>91.1</v>
      </c>
      <c r="N291">
        <v>55.2</v>
      </c>
    </row>
    <row r="292" spans="1:14" x14ac:dyDescent="0.25">
      <c r="A292" t="s">
        <v>14</v>
      </c>
      <c r="B292" t="s">
        <v>15</v>
      </c>
      <c r="C292" t="s">
        <v>631</v>
      </c>
      <c r="D292" t="s">
        <v>632</v>
      </c>
      <c r="E292">
        <v>98.9</v>
      </c>
      <c r="F292">
        <v>98.85</v>
      </c>
      <c r="G292">
        <v>99</v>
      </c>
      <c r="H292">
        <v>98.85</v>
      </c>
      <c r="I292">
        <v>98.9</v>
      </c>
      <c r="J292">
        <v>1068600</v>
      </c>
      <c r="K292">
        <v>10800</v>
      </c>
      <c r="L292" t="s">
        <v>18</v>
      </c>
      <c r="M292">
        <v>160</v>
      </c>
      <c r="N292">
        <v>75.150000000000006</v>
      </c>
    </row>
    <row r="293" spans="1:14" x14ac:dyDescent="0.25">
      <c r="A293" t="s">
        <v>14</v>
      </c>
      <c r="B293" t="s">
        <v>15</v>
      </c>
      <c r="C293" t="s">
        <v>973</v>
      </c>
      <c r="D293" t="s">
        <v>974</v>
      </c>
      <c r="E293">
        <v>26.75</v>
      </c>
      <c r="F293">
        <v>25.7</v>
      </c>
      <c r="G293">
        <v>25.9</v>
      </c>
      <c r="H293">
        <v>25.7</v>
      </c>
      <c r="I293">
        <v>25.9</v>
      </c>
      <c r="J293">
        <v>82560</v>
      </c>
      <c r="K293">
        <v>3200</v>
      </c>
      <c r="L293" t="s">
        <v>18</v>
      </c>
      <c r="M293">
        <v>40.5</v>
      </c>
      <c r="N293">
        <v>22.2</v>
      </c>
    </row>
    <row r="294" spans="1:14" x14ac:dyDescent="0.25">
      <c r="A294" t="s">
        <v>14</v>
      </c>
      <c r="B294" t="s">
        <v>15</v>
      </c>
      <c r="C294" t="s">
        <v>633</v>
      </c>
      <c r="D294" t="s">
        <v>634</v>
      </c>
      <c r="E294">
        <v>32.4</v>
      </c>
      <c r="F294">
        <v>32.799999999999997</v>
      </c>
      <c r="G294">
        <v>34.75</v>
      </c>
      <c r="H294">
        <v>31.95</v>
      </c>
      <c r="I294">
        <v>33.9</v>
      </c>
      <c r="J294">
        <v>976240</v>
      </c>
      <c r="K294">
        <v>29800</v>
      </c>
      <c r="L294" t="s">
        <v>18</v>
      </c>
      <c r="M294">
        <v>53.9</v>
      </c>
      <c r="N294">
        <v>25.55</v>
      </c>
    </row>
    <row r="295" spans="1:14" x14ac:dyDescent="0.25">
      <c r="A295" t="s">
        <v>14</v>
      </c>
      <c r="B295" t="s">
        <v>15</v>
      </c>
      <c r="C295" t="s">
        <v>635</v>
      </c>
      <c r="D295" t="s">
        <v>636</v>
      </c>
      <c r="E295">
        <v>55.3</v>
      </c>
      <c r="F295">
        <v>52.85</v>
      </c>
      <c r="G295">
        <v>53</v>
      </c>
      <c r="H295">
        <v>52.85</v>
      </c>
      <c r="I295">
        <v>53</v>
      </c>
      <c r="J295">
        <v>169360</v>
      </c>
      <c r="K295">
        <v>3200</v>
      </c>
      <c r="L295" t="s">
        <v>18</v>
      </c>
      <c r="M295">
        <v>103</v>
      </c>
      <c r="N295">
        <v>50</v>
      </c>
    </row>
    <row r="296" spans="1:14" x14ac:dyDescent="0.25">
      <c r="A296" t="s">
        <v>14</v>
      </c>
      <c r="B296" t="s">
        <v>15</v>
      </c>
      <c r="C296" t="s">
        <v>637</v>
      </c>
      <c r="D296" t="s">
        <v>638</v>
      </c>
      <c r="E296">
        <v>22.9</v>
      </c>
      <c r="F296">
        <v>24.5</v>
      </c>
      <c r="G296">
        <v>26.15</v>
      </c>
      <c r="H296">
        <v>23.05</v>
      </c>
      <c r="I296">
        <v>25.8</v>
      </c>
      <c r="J296">
        <v>1708800</v>
      </c>
      <c r="K296">
        <v>69000</v>
      </c>
      <c r="L296" t="s">
        <v>18</v>
      </c>
      <c r="M296">
        <v>30.85</v>
      </c>
      <c r="N296">
        <v>16.5</v>
      </c>
    </row>
    <row r="297" spans="1:14" x14ac:dyDescent="0.25">
      <c r="A297" t="s">
        <v>14</v>
      </c>
      <c r="B297" t="s">
        <v>15</v>
      </c>
      <c r="C297" t="s">
        <v>639</v>
      </c>
      <c r="D297" t="s">
        <v>640</v>
      </c>
      <c r="E297">
        <v>235</v>
      </c>
      <c r="F297">
        <v>226.2</v>
      </c>
      <c r="G297">
        <v>229.95</v>
      </c>
      <c r="H297">
        <v>222.55</v>
      </c>
      <c r="I297">
        <v>227.45</v>
      </c>
      <c r="J297">
        <v>1240775</v>
      </c>
      <c r="K297">
        <v>5500</v>
      </c>
      <c r="L297" t="s">
        <v>18</v>
      </c>
      <c r="M297">
        <v>312.5</v>
      </c>
      <c r="N297">
        <v>173.15</v>
      </c>
    </row>
    <row r="298" spans="1:14" x14ac:dyDescent="0.25">
      <c r="A298" t="s">
        <v>14</v>
      </c>
      <c r="B298" t="s">
        <v>15</v>
      </c>
      <c r="C298" t="s">
        <v>641</v>
      </c>
      <c r="D298" t="s">
        <v>642</v>
      </c>
      <c r="E298">
        <v>82.5</v>
      </c>
      <c r="F298">
        <v>83.95</v>
      </c>
      <c r="G298">
        <v>85.3</v>
      </c>
      <c r="H298">
        <v>80</v>
      </c>
      <c r="I298">
        <v>80</v>
      </c>
      <c r="J298">
        <v>3118950</v>
      </c>
      <c r="K298">
        <v>37500</v>
      </c>
      <c r="L298" t="s">
        <v>18</v>
      </c>
      <c r="M298">
        <v>101.9</v>
      </c>
      <c r="N298">
        <v>70.05</v>
      </c>
    </row>
    <row r="299" spans="1:14" x14ac:dyDescent="0.25">
      <c r="A299" t="s">
        <v>14</v>
      </c>
      <c r="B299" t="s">
        <v>15</v>
      </c>
      <c r="C299" t="s">
        <v>645</v>
      </c>
      <c r="D299" t="s">
        <v>646</v>
      </c>
      <c r="E299">
        <v>91.75</v>
      </c>
      <c r="F299">
        <v>91</v>
      </c>
      <c r="G299">
        <v>91</v>
      </c>
      <c r="H299">
        <v>81</v>
      </c>
      <c r="I299">
        <v>88</v>
      </c>
      <c r="J299">
        <v>1803800</v>
      </c>
      <c r="K299">
        <v>20800</v>
      </c>
      <c r="L299" t="s">
        <v>18</v>
      </c>
      <c r="M299">
        <v>143</v>
      </c>
      <c r="N299">
        <v>81</v>
      </c>
    </row>
    <row r="300" spans="1:14" x14ac:dyDescent="0.25">
      <c r="A300" t="s">
        <v>14</v>
      </c>
      <c r="B300" t="s">
        <v>15</v>
      </c>
      <c r="C300" t="s">
        <v>975</v>
      </c>
      <c r="D300" t="s">
        <v>976</v>
      </c>
      <c r="E300">
        <v>181.5</v>
      </c>
      <c r="F300">
        <v>180</v>
      </c>
      <c r="G300">
        <v>180</v>
      </c>
      <c r="H300">
        <v>180</v>
      </c>
      <c r="I300">
        <v>180</v>
      </c>
      <c r="J300">
        <v>216000</v>
      </c>
      <c r="K300">
        <v>1200</v>
      </c>
      <c r="L300" t="s">
        <v>18</v>
      </c>
      <c r="M300">
        <v>229</v>
      </c>
      <c r="N300">
        <v>171</v>
      </c>
    </row>
    <row r="301" spans="1:14" x14ac:dyDescent="0.25">
      <c r="A301" t="s">
        <v>14</v>
      </c>
      <c r="B301" t="s">
        <v>15</v>
      </c>
      <c r="C301" t="s">
        <v>647</v>
      </c>
      <c r="D301" t="s">
        <v>648</v>
      </c>
      <c r="E301">
        <v>234.95</v>
      </c>
      <c r="F301">
        <v>235</v>
      </c>
      <c r="G301">
        <v>243</v>
      </c>
      <c r="H301">
        <v>228</v>
      </c>
      <c r="I301">
        <v>239</v>
      </c>
      <c r="J301">
        <v>2833740</v>
      </c>
      <c r="K301">
        <v>12000</v>
      </c>
      <c r="L301" t="s">
        <v>18</v>
      </c>
      <c r="M301">
        <v>384.9</v>
      </c>
      <c r="N301">
        <v>215.2</v>
      </c>
    </row>
    <row r="302" spans="1:14" x14ac:dyDescent="0.25">
      <c r="A302" t="s">
        <v>14</v>
      </c>
      <c r="B302" t="s">
        <v>15</v>
      </c>
      <c r="C302" t="s">
        <v>649</v>
      </c>
      <c r="D302" t="s">
        <v>650</v>
      </c>
      <c r="E302">
        <v>319.55</v>
      </c>
      <c r="F302">
        <v>314</v>
      </c>
      <c r="G302">
        <v>344.85</v>
      </c>
      <c r="H302">
        <v>314</v>
      </c>
      <c r="I302">
        <v>335.55</v>
      </c>
      <c r="J302">
        <v>8537330</v>
      </c>
      <c r="K302">
        <v>25800</v>
      </c>
      <c r="L302" t="s">
        <v>18</v>
      </c>
      <c r="M302">
        <v>595.85</v>
      </c>
      <c r="N302">
        <v>249.85</v>
      </c>
    </row>
    <row r="303" spans="1:14" x14ac:dyDescent="0.25">
      <c r="A303" t="s">
        <v>14</v>
      </c>
      <c r="B303" t="s">
        <v>15</v>
      </c>
      <c r="C303" t="s">
        <v>651</v>
      </c>
      <c r="D303" t="s">
        <v>652</v>
      </c>
      <c r="E303">
        <v>102</v>
      </c>
      <c r="F303">
        <v>102</v>
      </c>
      <c r="G303">
        <v>102</v>
      </c>
      <c r="H303">
        <v>102</v>
      </c>
      <c r="I303">
        <v>102</v>
      </c>
      <c r="J303">
        <v>102000</v>
      </c>
      <c r="K303">
        <v>1000</v>
      </c>
      <c r="L303" t="s">
        <v>18</v>
      </c>
      <c r="M303">
        <v>175</v>
      </c>
      <c r="N303">
        <v>55.2</v>
      </c>
    </row>
    <row r="304" spans="1:14" x14ac:dyDescent="0.25">
      <c r="A304" t="s">
        <v>14</v>
      </c>
      <c r="B304" t="s">
        <v>15</v>
      </c>
      <c r="C304" t="s">
        <v>653</v>
      </c>
      <c r="D304" t="s">
        <v>654</v>
      </c>
      <c r="E304">
        <v>46</v>
      </c>
      <c r="F304">
        <v>48</v>
      </c>
      <c r="G304">
        <v>49.5</v>
      </c>
      <c r="H304">
        <v>46.1</v>
      </c>
      <c r="I304">
        <v>46.1</v>
      </c>
      <c r="J304">
        <v>286850</v>
      </c>
      <c r="K304">
        <v>6000</v>
      </c>
      <c r="L304" t="s">
        <v>18</v>
      </c>
      <c r="M304">
        <v>92.8</v>
      </c>
      <c r="N304">
        <v>39</v>
      </c>
    </row>
    <row r="305" spans="1:14" x14ac:dyDescent="0.25">
      <c r="A305" t="s">
        <v>14</v>
      </c>
      <c r="B305" t="s">
        <v>15</v>
      </c>
      <c r="C305" t="s">
        <v>655</v>
      </c>
      <c r="D305" t="s">
        <v>656</v>
      </c>
      <c r="E305">
        <v>636.54999999999995</v>
      </c>
      <c r="F305">
        <v>681.95</v>
      </c>
      <c r="G305">
        <v>681.95</v>
      </c>
      <c r="H305">
        <v>645</v>
      </c>
      <c r="I305">
        <v>646</v>
      </c>
      <c r="J305">
        <v>784230</v>
      </c>
      <c r="K305">
        <v>1200</v>
      </c>
      <c r="L305" t="s">
        <v>18</v>
      </c>
      <c r="M305">
        <v>2419.9499999999998</v>
      </c>
      <c r="N305">
        <v>611.04999999999995</v>
      </c>
    </row>
    <row r="306" spans="1:14" x14ac:dyDescent="0.25">
      <c r="A306" t="s">
        <v>14</v>
      </c>
      <c r="B306" t="s">
        <v>33</v>
      </c>
      <c r="C306" t="s">
        <v>657</v>
      </c>
      <c r="D306" t="s">
        <v>658</v>
      </c>
      <c r="E306">
        <v>146.85</v>
      </c>
      <c r="F306">
        <v>147</v>
      </c>
      <c r="G306">
        <v>150</v>
      </c>
      <c r="H306">
        <v>147</v>
      </c>
      <c r="I306">
        <v>150</v>
      </c>
      <c r="J306">
        <v>1602840</v>
      </c>
      <c r="K306">
        <v>10800</v>
      </c>
      <c r="L306" t="s">
        <v>18</v>
      </c>
      <c r="M306">
        <v>158</v>
      </c>
      <c r="N306">
        <v>69</v>
      </c>
    </row>
    <row r="307" spans="1:14" x14ac:dyDescent="0.25">
      <c r="A307" t="s">
        <v>14</v>
      </c>
      <c r="B307" t="s">
        <v>15</v>
      </c>
      <c r="C307" t="s">
        <v>659</v>
      </c>
      <c r="D307" t="s">
        <v>660</v>
      </c>
      <c r="E307">
        <v>147</v>
      </c>
      <c r="F307">
        <v>150</v>
      </c>
      <c r="G307">
        <v>150</v>
      </c>
      <c r="H307">
        <v>150</v>
      </c>
      <c r="I307">
        <v>150</v>
      </c>
      <c r="J307">
        <v>150000</v>
      </c>
      <c r="K307">
        <v>1000</v>
      </c>
      <c r="L307" t="s">
        <v>18</v>
      </c>
      <c r="M307">
        <v>171</v>
      </c>
      <c r="N307">
        <v>57</v>
      </c>
    </row>
    <row r="308" spans="1:14" x14ac:dyDescent="0.25">
      <c r="A308" t="s">
        <v>14</v>
      </c>
      <c r="B308" t="s">
        <v>15</v>
      </c>
      <c r="C308" t="s">
        <v>661</v>
      </c>
      <c r="D308" t="s">
        <v>662</v>
      </c>
      <c r="E308">
        <v>47.15</v>
      </c>
      <c r="F308">
        <v>45.3</v>
      </c>
      <c r="G308">
        <v>48.7</v>
      </c>
      <c r="H308">
        <v>45.3</v>
      </c>
      <c r="I308">
        <v>46.5</v>
      </c>
      <c r="J308">
        <v>3818950</v>
      </c>
      <c r="K308">
        <v>82000</v>
      </c>
      <c r="L308" t="s">
        <v>18</v>
      </c>
      <c r="M308">
        <v>120</v>
      </c>
      <c r="N308">
        <v>41.6</v>
      </c>
    </row>
    <row r="309" spans="1:14" x14ac:dyDescent="0.25">
      <c r="A309" t="s">
        <v>14</v>
      </c>
      <c r="B309" t="s">
        <v>33</v>
      </c>
      <c r="C309" t="s">
        <v>663</v>
      </c>
      <c r="D309" t="s">
        <v>664</v>
      </c>
      <c r="E309">
        <v>58.1</v>
      </c>
      <c r="F309">
        <v>58.2</v>
      </c>
      <c r="G309">
        <v>59.85</v>
      </c>
      <c r="H309">
        <v>58.2</v>
      </c>
      <c r="I309">
        <v>59</v>
      </c>
      <c r="J309">
        <v>1370150</v>
      </c>
      <c r="K309">
        <v>23000</v>
      </c>
      <c r="L309" t="s">
        <v>18</v>
      </c>
      <c r="M309">
        <v>102.05</v>
      </c>
      <c r="N309">
        <v>50</v>
      </c>
    </row>
    <row r="310" spans="1:14" x14ac:dyDescent="0.25">
      <c r="A310" t="s">
        <v>14</v>
      </c>
      <c r="B310" t="s">
        <v>15</v>
      </c>
      <c r="C310" t="s">
        <v>665</v>
      </c>
      <c r="D310" t="s">
        <v>666</v>
      </c>
      <c r="E310">
        <v>20</v>
      </c>
      <c r="F310">
        <v>19.100000000000001</v>
      </c>
      <c r="G310">
        <v>19.25</v>
      </c>
      <c r="H310">
        <v>19.100000000000001</v>
      </c>
      <c r="I310">
        <v>19.25</v>
      </c>
      <c r="J310">
        <v>61360</v>
      </c>
      <c r="K310">
        <v>3200</v>
      </c>
      <c r="L310" t="s">
        <v>18</v>
      </c>
      <c r="M310">
        <v>40.6</v>
      </c>
      <c r="N310">
        <v>19.100000000000001</v>
      </c>
    </row>
    <row r="311" spans="1:14" x14ac:dyDescent="0.25">
      <c r="A311" t="s">
        <v>14</v>
      </c>
      <c r="B311" t="s">
        <v>15</v>
      </c>
      <c r="C311" t="s">
        <v>667</v>
      </c>
      <c r="D311" t="s">
        <v>668</v>
      </c>
      <c r="E311">
        <v>305</v>
      </c>
      <c r="F311">
        <v>300.5</v>
      </c>
      <c r="G311">
        <v>306</v>
      </c>
      <c r="H311">
        <v>295.55</v>
      </c>
      <c r="I311">
        <v>301.3</v>
      </c>
      <c r="J311">
        <v>5951190</v>
      </c>
      <c r="K311">
        <v>19800</v>
      </c>
      <c r="L311" t="s">
        <v>18</v>
      </c>
      <c r="M311">
        <v>404</v>
      </c>
      <c r="N311">
        <v>205</v>
      </c>
    </row>
    <row r="312" spans="1:14" x14ac:dyDescent="0.25">
      <c r="A312" t="s">
        <v>14</v>
      </c>
      <c r="B312" t="s">
        <v>33</v>
      </c>
      <c r="C312" t="s">
        <v>669</v>
      </c>
      <c r="D312" t="s">
        <v>670</v>
      </c>
      <c r="E312">
        <v>211.15</v>
      </c>
      <c r="F312">
        <v>210</v>
      </c>
      <c r="G312">
        <v>220</v>
      </c>
      <c r="H312">
        <v>210</v>
      </c>
      <c r="I312">
        <v>220</v>
      </c>
      <c r="J312">
        <v>540987.5</v>
      </c>
      <c r="K312">
        <v>2500</v>
      </c>
      <c r="L312" t="s">
        <v>18</v>
      </c>
      <c r="M312">
        <v>573</v>
      </c>
      <c r="N312">
        <v>160.55000000000001</v>
      </c>
    </row>
    <row r="313" spans="1:14" x14ac:dyDescent="0.25">
      <c r="A313" t="s">
        <v>14</v>
      </c>
      <c r="B313" t="s">
        <v>15</v>
      </c>
      <c r="C313" t="s">
        <v>671</v>
      </c>
      <c r="D313" t="s">
        <v>672</v>
      </c>
      <c r="E313">
        <v>34.5</v>
      </c>
      <c r="F313">
        <v>34.5</v>
      </c>
      <c r="G313">
        <v>36.299999999999997</v>
      </c>
      <c r="H313">
        <v>34.5</v>
      </c>
      <c r="I313">
        <v>35</v>
      </c>
      <c r="J313">
        <v>787440</v>
      </c>
      <c r="K313">
        <v>22400</v>
      </c>
      <c r="L313" t="s">
        <v>18</v>
      </c>
      <c r="M313">
        <v>79</v>
      </c>
      <c r="N313">
        <v>33.700000000000003</v>
      </c>
    </row>
    <row r="314" spans="1:14" x14ac:dyDescent="0.25">
      <c r="A314" t="s">
        <v>14</v>
      </c>
      <c r="B314" t="s">
        <v>15</v>
      </c>
      <c r="C314" t="s">
        <v>673</v>
      </c>
      <c r="D314" t="s">
        <v>674</v>
      </c>
      <c r="E314">
        <v>106.6</v>
      </c>
      <c r="F314">
        <v>99.15</v>
      </c>
      <c r="G314">
        <v>105.9</v>
      </c>
      <c r="H314">
        <v>99.15</v>
      </c>
      <c r="I314">
        <v>102.15</v>
      </c>
      <c r="J314">
        <v>337005</v>
      </c>
      <c r="K314">
        <v>3300</v>
      </c>
      <c r="L314" t="s">
        <v>18</v>
      </c>
      <c r="M314">
        <v>222</v>
      </c>
      <c r="N314">
        <v>98</v>
      </c>
    </row>
    <row r="315" spans="1:14" x14ac:dyDescent="0.25">
      <c r="A315" t="s">
        <v>14</v>
      </c>
      <c r="B315" t="s">
        <v>33</v>
      </c>
      <c r="C315" t="s">
        <v>675</v>
      </c>
      <c r="D315" t="s">
        <v>676</v>
      </c>
      <c r="E315">
        <v>49.6</v>
      </c>
      <c r="F315">
        <v>48</v>
      </c>
      <c r="G315">
        <v>49.4</v>
      </c>
      <c r="H315">
        <v>48</v>
      </c>
      <c r="I315">
        <v>49.4</v>
      </c>
      <c r="J315">
        <v>145600</v>
      </c>
      <c r="K315">
        <v>3000</v>
      </c>
      <c r="L315" t="s">
        <v>18</v>
      </c>
      <c r="M315">
        <v>96.9</v>
      </c>
      <c r="N315">
        <v>31.8</v>
      </c>
    </row>
    <row r="316" spans="1:14" x14ac:dyDescent="0.25">
      <c r="A316" t="s">
        <v>14</v>
      </c>
      <c r="B316" t="s">
        <v>15</v>
      </c>
      <c r="C316" t="s">
        <v>677</v>
      </c>
      <c r="D316" t="s">
        <v>678</v>
      </c>
      <c r="E316">
        <v>84.9</v>
      </c>
      <c r="F316">
        <v>84.9</v>
      </c>
      <c r="G316">
        <v>84.9</v>
      </c>
      <c r="H316">
        <v>80.55</v>
      </c>
      <c r="I316">
        <v>81.95</v>
      </c>
      <c r="J316">
        <v>1002900</v>
      </c>
      <c r="K316">
        <v>12000</v>
      </c>
      <c r="L316" t="s">
        <v>18</v>
      </c>
      <c r="M316">
        <v>161</v>
      </c>
      <c r="N316">
        <v>73</v>
      </c>
    </row>
    <row r="317" spans="1:14" x14ac:dyDescent="0.25">
      <c r="A317" t="s">
        <v>14</v>
      </c>
      <c r="B317" t="s">
        <v>15</v>
      </c>
      <c r="C317" t="s">
        <v>679</v>
      </c>
      <c r="D317" t="s">
        <v>680</v>
      </c>
      <c r="E317">
        <v>321.60000000000002</v>
      </c>
      <c r="F317">
        <v>321.60000000000002</v>
      </c>
      <c r="G317">
        <v>323</v>
      </c>
      <c r="H317">
        <v>317.35000000000002</v>
      </c>
      <c r="I317">
        <v>321.85000000000002</v>
      </c>
      <c r="J317">
        <v>2319375</v>
      </c>
      <c r="K317">
        <v>7250</v>
      </c>
      <c r="L317" t="s">
        <v>18</v>
      </c>
      <c r="M317">
        <v>685</v>
      </c>
      <c r="N317">
        <v>300</v>
      </c>
    </row>
    <row r="318" spans="1:14" x14ac:dyDescent="0.25">
      <c r="A318" t="s">
        <v>14</v>
      </c>
      <c r="B318" t="s">
        <v>15</v>
      </c>
      <c r="C318" t="s">
        <v>681</v>
      </c>
      <c r="D318" t="s">
        <v>682</v>
      </c>
      <c r="E318">
        <v>189.25</v>
      </c>
      <c r="F318">
        <v>190</v>
      </c>
      <c r="G318">
        <v>190.5</v>
      </c>
      <c r="H318">
        <v>188</v>
      </c>
      <c r="I318">
        <v>190.25</v>
      </c>
      <c r="J318">
        <v>909900</v>
      </c>
      <c r="K318">
        <v>4800</v>
      </c>
      <c r="L318" t="s">
        <v>18</v>
      </c>
      <c r="M318">
        <v>217.7</v>
      </c>
      <c r="N318">
        <v>118</v>
      </c>
    </row>
    <row r="319" spans="1:14" x14ac:dyDescent="0.25">
      <c r="A319" t="s">
        <v>14</v>
      </c>
      <c r="B319" t="s">
        <v>33</v>
      </c>
      <c r="C319" t="s">
        <v>683</v>
      </c>
      <c r="D319" t="s">
        <v>684</v>
      </c>
      <c r="E319">
        <v>6</v>
      </c>
      <c r="F319">
        <v>6</v>
      </c>
      <c r="G319">
        <v>6</v>
      </c>
      <c r="H319">
        <v>6</v>
      </c>
      <c r="I319">
        <v>6</v>
      </c>
      <c r="J319">
        <v>30000</v>
      </c>
      <c r="K319">
        <v>5000</v>
      </c>
      <c r="L319" t="s">
        <v>18</v>
      </c>
      <c r="M319">
        <v>10.85</v>
      </c>
      <c r="N319">
        <v>3.8</v>
      </c>
    </row>
    <row r="320" spans="1:14" x14ac:dyDescent="0.25">
      <c r="A320" t="s">
        <v>14</v>
      </c>
      <c r="B320" t="s">
        <v>33</v>
      </c>
      <c r="C320" t="s">
        <v>685</v>
      </c>
      <c r="D320" t="s">
        <v>686</v>
      </c>
      <c r="E320">
        <v>372.5</v>
      </c>
      <c r="F320">
        <v>372.5</v>
      </c>
      <c r="G320">
        <v>372.5</v>
      </c>
      <c r="H320">
        <v>360</v>
      </c>
      <c r="I320">
        <v>370</v>
      </c>
      <c r="J320">
        <v>1989690</v>
      </c>
      <c r="K320">
        <v>5400</v>
      </c>
      <c r="L320" t="s">
        <v>18</v>
      </c>
      <c r="M320">
        <v>430.65</v>
      </c>
      <c r="N320">
        <v>140.5</v>
      </c>
    </row>
    <row r="321" spans="1:14" x14ac:dyDescent="0.25">
      <c r="A321" t="s">
        <v>14</v>
      </c>
      <c r="B321" t="s">
        <v>15</v>
      </c>
      <c r="C321" t="s">
        <v>977</v>
      </c>
      <c r="D321" t="s">
        <v>978</v>
      </c>
      <c r="E321">
        <v>104</v>
      </c>
      <c r="F321">
        <v>102.25</v>
      </c>
      <c r="G321">
        <v>106.5</v>
      </c>
      <c r="H321">
        <v>101.05</v>
      </c>
      <c r="I321">
        <v>101.05</v>
      </c>
      <c r="J321">
        <v>371310</v>
      </c>
      <c r="K321">
        <v>3600</v>
      </c>
      <c r="L321" t="s">
        <v>18</v>
      </c>
      <c r="M321">
        <v>150</v>
      </c>
      <c r="N321">
        <v>76.95</v>
      </c>
    </row>
    <row r="322" spans="1:14" x14ac:dyDescent="0.25">
      <c r="A322" t="s">
        <v>14</v>
      </c>
      <c r="B322" t="s">
        <v>15</v>
      </c>
      <c r="C322" t="s">
        <v>687</v>
      </c>
      <c r="D322" t="s">
        <v>688</v>
      </c>
      <c r="E322">
        <v>230.5</v>
      </c>
      <c r="F322">
        <v>231</v>
      </c>
      <c r="G322">
        <v>242</v>
      </c>
      <c r="H322">
        <v>224.95</v>
      </c>
      <c r="I322">
        <v>225.3</v>
      </c>
      <c r="J322">
        <v>25792800</v>
      </c>
      <c r="K322">
        <v>110500</v>
      </c>
      <c r="L322" t="s">
        <v>18</v>
      </c>
      <c r="M322">
        <v>319</v>
      </c>
      <c r="N322">
        <v>151</v>
      </c>
    </row>
    <row r="323" spans="1:14" x14ac:dyDescent="0.25">
      <c r="A323" t="s">
        <v>14</v>
      </c>
      <c r="B323" t="s">
        <v>15</v>
      </c>
      <c r="C323" t="s">
        <v>689</v>
      </c>
      <c r="D323" t="s">
        <v>690</v>
      </c>
      <c r="E323">
        <v>142.9</v>
      </c>
      <c r="F323">
        <v>142.05000000000001</v>
      </c>
      <c r="G323">
        <v>143.94999999999999</v>
      </c>
      <c r="H323">
        <v>139</v>
      </c>
      <c r="I323">
        <v>141.85</v>
      </c>
      <c r="J323">
        <v>10567520</v>
      </c>
      <c r="K323">
        <v>74800</v>
      </c>
      <c r="L323" t="s">
        <v>18</v>
      </c>
      <c r="M323">
        <v>525</v>
      </c>
      <c r="N323">
        <v>138.15</v>
      </c>
    </row>
    <row r="324" spans="1:14" x14ac:dyDescent="0.25">
      <c r="A324" t="s">
        <v>14</v>
      </c>
      <c r="B324" t="s">
        <v>15</v>
      </c>
      <c r="C324" t="s">
        <v>691</v>
      </c>
      <c r="D324" t="s">
        <v>692</v>
      </c>
      <c r="E324">
        <v>889</v>
      </c>
      <c r="F324">
        <v>899.95</v>
      </c>
      <c r="G324">
        <v>919.5</v>
      </c>
      <c r="H324">
        <v>870.55</v>
      </c>
      <c r="I324">
        <v>910.8</v>
      </c>
      <c r="J324">
        <v>9389893.75</v>
      </c>
      <c r="K324">
        <v>10375</v>
      </c>
      <c r="L324" t="s">
        <v>18</v>
      </c>
      <c r="M324">
        <v>1735</v>
      </c>
      <c r="N324">
        <v>685</v>
      </c>
    </row>
    <row r="325" spans="1:14" x14ac:dyDescent="0.25">
      <c r="A325" t="s">
        <v>14</v>
      </c>
      <c r="B325" t="s">
        <v>15</v>
      </c>
      <c r="C325" t="s">
        <v>693</v>
      </c>
      <c r="D325" t="s">
        <v>694</v>
      </c>
      <c r="E325">
        <v>248.4</v>
      </c>
      <c r="F325">
        <v>246</v>
      </c>
      <c r="G325">
        <v>257</v>
      </c>
      <c r="H325">
        <v>245</v>
      </c>
      <c r="I325">
        <v>249</v>
      </c>
      <c r="J325">
        <v>31733360</v>
      </c>
      <c r="K325">
        <v>125600</v>
      </c>
      <c r="L325" t="s">
        <v>18</v>
      </c>
      <c r="M325">
        <v>515.54999999999995</v>
      </c>
      <c r="N325">
        <v>227.5</v>
      </c>
    </row>
    <row r="326" spans="1:14" x14ac:dyDescent="0.25">
      <c r="A326" t="s">
        <v>14</v>
      </c>
      <c r="B326" t="s">
        <v>15</v>
      </c>
      <c r="C326" t="s">
        <v>979</v>
      </c>
      <c r="D326" t="s">
        <v>980</v>
      </c>
      <c r="E326">
        <v>47</v>
      </c>
      <c r="F326">
        <v>44.05</v>
      </c>
      <c r="G326">
        <v>48</v>
      </c>
      <c r="H326">
        <v>44.05</v>
      </c>
      <c r="I326">
        <v>47</v>
      </c>
      <c r="J326">
        <v>942100</v>
      </c>
      <c r="K326">
        <v>20000</v>
      </c>
      <c r="L326" t="s">
        <v>18</v>
      </c>
      <c r="M326">
        <v>85</v>
      </c>
      <c r="N326">
        <v>44.05</v>
      </c>
    </row>
    <row r="327" spans="1:14" x14ac:dyDescent="0.25">
      <c r="A327" t="s">
        <v>14</v>
      </c>
      <c r="B327" t="s">
        <v>33</v>
      </c>
      <c r="C327" t="s">
        <v>695</v>
      </c>
      <c r="D327" t="s">
        <v>696</v>
      </c>
      <c r="E327">
        <v>47.6</v>
      </c>
      <c r="F327">
        <v>46.65</v>
      </c>
      <c r="G327">
        <v>49.45</v>
      </c>
      <c r="H327">
        <v>46.65</v>
      </c>
      <c r="I327">
        <v>49.45</v>
      </c>
      <c r="J327">
        <v>777800</v>
      </c>
      <c r="K327">
        <v>16000</v>
      </c>
      <c r="L327" t="s">
        <v>18</v>
      </c>
      <c r="M327">
        <v>51.3</v>
      </c>
      <c r="N327">
        <v>28.8</v>
      </c>
    </row>
    <row r="328" spans="1:14" x14ac:dyDescent="0.25">
      <c r="A328" t="s">
        <v>14</v>
      </c>
      <c r="B328" t="s">
        <v>15</v>
      </c>
      <c r="C328" t="s">
        <v>697</v>
      </c>
      <c r="D328" t="s">
        <v>698</v>
      </c>
      <c r="E328">
        <v>11</v>
      </c>
      <c r="F328">
        <v>11</v>
      </c>
      <c r="G328">
        <v>11.4</v>
      </c>
      <c r="H328">
        <v>11</v>
      </c>
      <c r="I328">
        <v>11.4</v>
      </c>
      <c r="J328">
        <v>265600</v>
      </c>
      <c r="K328">
        <v>24000</v>
      </c>
      <c r="L328" t="s">
        <v>18</v>
      </c>
      <c r="M328">
        <v>111.9</v>
      </c>
      <c r="N328">
        <v>10.45</v>
      </c>
    </row>
    <row r="329" spans="1:14" x14ac:dyDescent="0.25">
      <c r="A329" t="s">
        <v>14</v>
      </c>
      <c r="B329" t="s">
        <v>15</v>
      </c>
      <c r="C329" t="s">
        <v>699</v>
      </c>
      <c r="D329" t="s">
        <v>700</v>
      </c>
      <c r="E329">
        <v>46.9</v>
      </c>
      <c r="F329">
        <v>45</v>
      </c>
      <c r="G329">
        <v>46.9</v>
      </c>
      <c r="H329">
        <v>44.6</v>
      </c>
      <c r="I329">
        <v>44.75</v>
      </c>
      <c r="J329">
        <v>947100</v>
      </c>
      <c r="K329">
        <v>21000</v>
      </c>
      <c r="L329" t="s">
        <v>18</v>
      </c>
      <c r="M329">
        <v>77</v>
      </c>
      <c r="N329">
        <v>43.8</v>
      </c>
    </row>
    <row r="330" spans="1:14" x14ac:dyDescent="0.25">
      <c r="A330" t="s">
        <v>14</v>
      </c>
      <c r="B330" t="s">
        <v>15</v>
      </c>
      <c r="C330" t="s">
        <v>701</v>
      </c>
      <c r="D330" t="s">
        <v>702</v>
      </c>
      <c r="E330">
        <v>206.25</v>
      </c>
      <c r="F330">
        <v>208</v>
      </c>
      <c r="G330">
        <v>212</v>
      </c>
      <c r="H330">
        <v>195</v>
      </c>
      <c r="I330">
        <v>199.6</v>
      </c>
      <c r="J330">
        <v>97987400</v>
      </c>
      <c r="K330">
        <v>480500</v>
      </c>
      <c r="L330" t="s">
        <v>18</v>
      </c>
      <c r="M330">
        <v>302.95</v>
      </c>
      <c r="N330">
        <v>162</v>
      </c>
    </row>
    <row r="331" spans="1:14" x14ac:dyDescent="0.25">
      <c r="A331" t="s">
        <v>14</v>
      </c>
      <c r="B331" t="s">
        <v>15</v>
      </c>
      <c r="C331" t="s">
        <v>703</v>
      </c>
      <c r="D331" t="s">
        <v>704</v>
      </c>
      <c r="E331">
        <v>145.30000000000001</v>
      </c>
      <c r="F331">
        <v>144.94999999999999</v>
      </c>
      <c r="G331">
        <v>154</v>
      </c>
      <c r="H331">
        <v>141.15</v>
      </c>
      <c r="I331">
        <v>146.55000000000001</v>
      </c>
      <c r="J331">
        <v>5468800</v>
      </c>
      <c r="K331">
        <v>36800</v>
      </c>
      <c r="L331" t="s">
        <v>18</v>
      </c>
      <c r="M331">
        <v>241.95</v>
      </c>
      <c r="N331">
        <v>124</v>
      </c>
    </row>
    <row r="332" spans="1:14" x14ac:dyDescent="0.25">
      <c r="A332" t="s">
        <v>14</v>
      </c>
      <c r="B332" t="s">
        <v>15</v>
      </c>
      <c r="C332" t="s">
        <v>705</v>
      </c>
      <c r="D332" t="s">
        <v>706</v>
      </c>
      <c r="E332">
        <v>371.1</v>
      </c>
      <c r="F332">
        <v>367.6</v>
      </c>
      <c r="G332">
        <v>390</v>
      </c>
      <c r="H332">
        <v>367</v>
      </c>
      <c r="I332">
        <v>386.7</v>
      </c>
      <c r="J332">
        <v>9651800</v>
      </c>
      <c r="K332">
        <v>25400</v>
      </c>
      <c r="L332" t="s">
        <v>18</v>
      </c>
      <c r="M332">
        <v>580</v>
      </c>
      <c r="N332">
        <v>345.05</v>
      </c>
    </row>
    <row r="333" spans="1:14" x14ac:dyDescent="0.25">
      <c r="A333" t="s">
        <v>14</v>
      </c>
      <c r="B333" t="s">
        <v>15</v>
      </c>
      <c r="C333" t="s">
        <v>707</v>
      </c>
      <c r="D333" t="s">
        <v>708</v>
      </c>
      <c r="E333">
        <v>39</v>
      </c>
      <c r="F333">
        <v>40.950000000000003</v>
      </c>
      <c r="G333">
        <v>40.950000000000003</v>
      </c>
      <c r="H333">
        <v>39.9</v>
      </c>
      <c r="I333">
        <v>39.9</v>
      </c>
      <c r="J333">
        <v>162775</v>
      </c>
      <c r="K333">
        <v>4000</v>
      </c>
      <c r="L333" t="s">
        <v>18</v>
      </c>
      <c r="M333">
        <v>180</v>
      </c>
      <c r="N333">
        <v>39</v>
      </c>
    </row>
    <row r="334" spans="1:14" x14ac:dyDescent="0.25">
      <c r="A334" t="s">
        <v>14</v>
      </c>
      <c r="B334" t="s">
        <v>15</v>
      </c>
      <c r="C334" t="s">
        <v>709</v>
      </c>
      <c r="D334" t="s">
        <v>710</v>
      </c>
      <c r="E334">
        <v>52.8</v>
      </c>
      <c r="F334">
        <v>54</v>
      </c>
      <c r="G334">
        <v>60.45</v>
      </c>
      <c r="H334">
        <v>54</v>
      </c>
      <c r="I334">
        <v>55.5</v>
      </c>
      <c r="J334">
        <v>362560</v>
      </c>
      <c r="K334">
        <v>6400</v>
      </c>
      <c r="L334" t="s">
        <v>18</v>
      </c>
      <c r="M334">
        <v>118.9</v>
      </c>
      <c r="N334">
        <v>47.2</v>
      </c>
    </row>
    <row r="335" spans="1:14" x14ac:dyDescent="0.25">
      <c r="A335" t="s">
        <v>14</v>
      </c>
      <c r="B335" t="s">
        <v>15</v>
      </c>
      <c r="C335" t="s">
        <v>711</v>
      </c>
      <c r="D335" t="s">
        <v>712</v>
      </c>
      <c r="E335">
        <v>142.6</v>
      </c>
      <c r="F335">
        <v>143</v>
      </c>
      <c r="G335">
        <v>143</v>
      </c>
      <c r="H335">
        <v>141</v>
      </c>
      <c r="I335">
        <v>141</v>
      </c>
      <c r="J335">
        <v>340800</v>
      </c>
      <c r="K335">
        <v>2400</v>
      </c>
      <c r="L335" t="s">
        <v>18</v>
      </c>
      <c r="M335">
        <v>191</v>
      </c>
      <c r="N335">
        <v>121</v>
      </c>
    </row>
    <row r="336" spans="1:14" x14ac:dyDescent="0.25">
      <c r="A336" t="s">
        <v>14</v>
      </c>
      <c r="B336" t="s">
        <v>15</v>
      </c>
      <c r="C336" t="s">
        <v>713</v>
      </c>
      <c r="D336" t="s">
        <v>714</v>
      </c>
      <c r="E336">
        <v>317.2</v>
      </c>
      <c r="F336">
        <v>317.89999999999998</v>
      </c>
      <c r="G336">
        <v>318</v>
      </c>
      <c r="H336">
        <v>313</v>
      </c>
      <c r="I336">
        <v>313.5</v>
      </c>
      <c r="J336">
        <v>42417960</v>
      </c>
      <c r="K336">
        <v>134400</v>
      </c>
      <c r="L336" t="s">
        <v>18</v>
      </c>
      <c r="M336">
        <v>326.10000000000002</v>
      </c>
      <c r="N336">
        <v>208</v>
      </c>
    </row>
    <row r="337" spans="1:14" x14ac:dyDescent="0.25">
      <c r="A337" t="s">
        <v>14</v>
      </c>
      <c r="B337" t="s">
        <v>15</v>
      </c>
      <c r="C337" t="s">
        <v>715</v>
      </c>
      <c r="D337" t="s">
        <v>716</v>
      </c>
      <c r="E337">
        <v>69</v>
      </c>
      <c r="F337">
        <v>69.05</v>
      </c>
      <c r="G337">
        <v>69.05</v>
      </c>
      <c r="H337">
        <v>69.05</v>
      </c>
      <c r="I337">
        <v>69.05</v>
      </c>
      <c r="J337">
        <v>110480</v>
      </c>
      <c r="K337">
        <v>1600</v>
      </c>
      <c r="L337" t="s">
        <v>18</v>
      </c>
      <c r="M337">
        <v>139.65</v>
      </c>
      <c r="N337">
        <v>66.650000000000006</v>
      </c>
    </row>
    <row r="338" spans="1:14" x14ac:dyDescent="0.25">
      <c r="A338" t="s">
        <v>14</v>
      </c>
      <c r="B338" t="s">
        <v>15</v>
      </c>
      <c r="C338" t="s">
        <v>717</v>
      </c>
      <c r="D338" t="s">
        <v>718</v>
      </c>
      <c r="E338">
        <v>41.5</v>
      </c>
      <c r="F338">
        <v>43</v>
      </c>
      <c r="G338">
        <v>49.8</v>
      </c>
      <c r="H338">
        <v>43</v>
      </c>
      <c r="I338">
        <v>49.8</v>
      </c>
      <c r="J338">
        <v>1551200</v>
      </c>
      <c r="K338">
        <v>32000</v>
      </c>
      <c r="L338" t="s">
        <v>18</v>
      </c>
      <c r="M338">
        <v>73.5</v>
      </c>
      <c r="N338">
        <v>39.200000000000003</v>
      </c>
    </row>
    <row r="339" spans="1:14" x14ac:dyDescent="0.25">
      <c r="A339" t="s">
        <v>14</v>
      </c>
      <c r="B339" t="s">
        <v>15</v>
      </c>
      <c r="C339" t="s">
        <v>721</v>
      </c>
      <c r="D339" t="s">
        <v>722</v>
      </c>
      <c r="E339">
        <v>130.65</v>
      </c>
      <c r="F339">
        <v>128</v>
      </c>
      <c r="G339">
        <v>128</v>
      </c>
      <c r="H339">
        <v>128</v>
      </c>
      <c r="I339">
        <v>128</v>
      </c>
      <c r="J339">
        <v>384000</v>
      </c>
      <c r="K339">
        <v>3000</v>
      </c>
      <c r="L339" t="s">
        <v>18</v>
      </c>
      <c r="M339">
        <v>159.5</v>
      </c>
      <c r="N339">
        <v>68.05</v>
      </c>
    </row>
    <row r="340" spans="1:14" x14ac:dyDescent="0.25">
      <c r="A340" t="s">
        <v>14</v>
      </c>
      <c r="B340" t="s">
        <v>15</v>
      </c>
      <c r="C340" t="s">
        <v>723</v>
      </c>
      <c r="D340" t="s">
        <v>724</v>
      </c>
      <c r="E340">
        <v>62.75</v>
      </c>
      <c r="F340">
        <v>69.900000000000006</v>
      </c>
      <c r="G340">
        <v>69.900000000000006</v>
      </c>
      <c r="H340">
        <v>66</v>
      </c>
      <c r="I340">
        <v>66.25</v>
      </c>
      <c r="J340">
        <v>812600</v>
      </c>
      <c r="K340">
        <v>12000</v>
      </c>
      <c r="L340" t="s">
        <v>18</v>
      </c>
      <c r="M340">
        <v>95.55</v>
      </c>
      <c r="N340">
        <v>62.05</v>
      </c>
    </row>
    <row r="341" spans="1:14" x14ac:dyDescent="0.25">
      <c r="A341" t="s">
        <v>14</v>
      </c>
      <c r="B341" t="s">
        <v>33</v>
      </c>
      <c r="C341" t="s">
        <v>725</v>
      </c>
      <c r="D341" t="s">
        <v>726</v>
      </c>
      <c r="E341">
        <v>206.6</v>
      </c>
      <c r="F341">
        <v>205</v>
      </c>
      <c r="G341">
        <v>207</v>
      </c>
      <c r="H341">
        <v>204</v>
      </c>
      <c r="I341">
        <v>207</v>
      </c>
      <c r="J341">
        <v>1439500</v>
      </c>
      <c r="K341">
        <v>7000</v>
      </c>
      <c r="L341" t="s">
        <v>18</v>
      </c>
      <c r="M341">
        <v>226.75</v>
      </c>
      <c r="N341">
        <v>71.5</v>
      </c>
    </row>
    <row r="342" spans="1:14" x14ac:dyDescent="0.25">
      <c r="A342" t="s">
        <v>14</v>
      </c>
      <c r="B342" t="s">
        <v>15</v>
      </c>
      <c r="C342" t="s">
        <v>727</v>
      </c>
      <c r="D342" t="s">
        <v>728</v>
      </c>
      <c r="E342">
        <v>125.4</v>
      </c>
      <c r="F342">
        <v>123</v>
      </c>
      <c r="G342">
        <v>125</v>
      </c>
      <c r="H342">
        <v>123</v>
      </c>
      <c r="I342">
        <v>124</v>
      </c>
      <c r="J342">
        <v>619000</v>
      </c>
      <c r="K342">
        <v>5000</v>
      </c>
      <c r="L342" t="s">
        <v>18</v>
      </c>
      <c r="M342">
        <v>179</v>
      </c>
      <c r="N342">
        <v>111.5</v>
      </c>
    </row>
    <row r="343" spans="1:14" x14ac:dyDescent="0.25">
      <c r="A343" t="s">
        <v>14</v>
      </c>
      <c r="B343" t="s">
        <v>15</v>
      </c>
      <c r="C343" t="s">
        <v>729</v>
      </c>
      <c r="D343" t="s">
        <v>730</v>
      </c>
      <c r="E343">
        <v>67.5</v>
      </c>
      <c r="F343">
        <v>66</v>
      </c>
      <c r="G343">
        <v>67</v>
      </c>
      <c r="H343">
        <v>64.5</v>
      </c>
      <c r="I343">
        <v>67</v>
      </c>
      <c r="J343">
        <v>786825</v>
      </c>
      <c r="K343">
        <v>12000</v>
      </c>
      <c r="L343" t="s">
        <v>18</v>
      </c>
      <c r="M343">
        <v>98.75</v>
      </c>
      <c r="N343">
        <v>41.2</v>
      </c>
    </row>
    <row r="344" spans="1:14" x14ac:dyDescent="0.25">
      <c r="A344" t="s">
        <v>14</v>
      </c>
      <c r="B344" t="s">
        <v>15</v>
      </c>
      <c r="C344" t="s">
        <v>731</v>
      </c>
      <c r="D344" t="s">
        <v>732</v>
      </c>
      <c r="E344">
        <v>93.55</v>
      </c>
      <c r="F344">
        <v>91.1</v>
      </c>
      <c r="G344">
        <v>93.8</v>
      </c>
      <c r="H344">
        <v>89.15</v>
      </c>
      <c r="I344">
        <v>92.2</v>
      </c>
      <c r="J344">
        <v>2522700</v>
      </c>
      <c r="K344">
        <v>27600</v>
      </c>
      <c r="L344" t="s">
        <v>18</v>
      </c>
      <c r="M344">
        <v>201</v>
      </c>
      <c r="N344">
        <v>71</v>
      </c>
    </row>
    <row r="345" spans="1:14" x14ac:dyDescent="0.25">
      <c r="A345" t="s">
        <v>14</v>
      </c>
      <c r="B345" t="s">
        <v>15</v>
      </c>
      <c r="C345" t="s">
        <v>733</v>
      </c>
      <c r="D345" t="s">
        <v>734</v>
      </c>
      <c r="E345">
        <v>116.95</v>
      </c>
      <c r="F345">
        <v>113</v>
      </c>
      <c r="G345">
        <v>118.5</v>
      </c>
      <c r="H345">
        <v>111.15</v>
      </c>
      <c r="I345">
        <v>111.55</v>
      </c>
      <c r="J345">
        <v>2952150</v>
      </c>
      <c r="K345">
        <v>26000</v>
      </c>
      <c r="L345" t="s">
        <v>18</v>
      </c>
      <c r="M345">
        <v>148.5</v>
      </c>
      <c r="N345">
        <v>111.15</v>
      </c>
    </row>
    <row r="346" spans="1:14" x14ac:dyDescent="0.25">
      <c r="A346" t="s">
        <v>14</v>
      </c>
      <c r="B346" t="s">
        <v>15</v>
      </c>
      <c r="C346" t="s">
        <v>735</v>
      </c>
      <c r="D346" t="s">
        <v>736</v>
      </c>
      <c r="E346">
        <v>436</v>
      </c>
      <c r="F346">
        <v>444.75</v>
      </c>
      <c r="G346">
        <v>444.75</v>
      </c>
      <c r="H346">
        <v>430</v>
      </c>
      <c r="I346">
        <v>440</v>
      </c>
      <c r="J346">
        <v>327712.5</v>
      </c>
      <c r="K346">
        <v>750</v>
      </c>
      <c r="L346" t="s">
        <v>18</v>
      </c>
      <c r="M346">
        <v>798.9</v>
      </c>
      <c r="N346">
        <v>396</v>
      </c>
    </row>
    <row r="347" spans="1:14" x14ac:dyDescent="0.25">
      <c r="A347" t="s">
        <v>14</v>
      </c>
      <c r="B347" t="s">
        <v>15</v>
      </c>
      <c r="C347" t="s">
        <v>737</v>
      </c>
      <c r="D347" t="s">
        <v>738</v>
      </c>
      <c r="E347">
        <v>72.75</v>
      </c>
      <c r="F347">
        <v>72.5</v>
      </c>
      <c r="G347">
        <v>74.599999999999994</v>
      </c>
      <c r="H347">
        <v>72.5</v>
      </c>
      <c r="I347">
        <v>74.599999999999994</v>
      </c>
      <c r="J347">
        <v>1180350</v>
      </c>
      <c r="K347">
        <v>16000</v>
      </c>
      <c r="L347" t="s">
        <v>18</v>
      </c>
      <c r="M347">
        <v>145.35</v>
      </c>
      <c r="N347">
        <v>69.2</v>
      </c>
    </row>
    <row r="348" spans="1:14" x14ac:dyDescent="0.25">
      <c r="A348" t="s">
        <v>14</v>
      </c>
      <c r="B348" t="s">
        <v>33</v>
      </c>
      <c r="C348" t="s">
        <v>739</v>
      </c>
      <c r="D348" t="s">
        <v>740</v>
      </c>
      <c r="E348">
        <v>613.70000000000005</v>
      </c>
      <c r="F348">
        <v>583.04999999999995</v>
      </c>
      <c r="G348">
        <v>583.04999999999995</v>
      </c>
      <c r="H348">
        <v>583.04999999999995</v>
      </c>
      <c r="I348">
        <v>583.04999999999995</v>
      </c>
      <c r="J348">
        <v>72881.25</v>
      </c>
      <c r="K348">
        <v>125</v>
      </c>
      <c r="L348" t="s">
        <v>18</v>
      </c>
      <c r="M348">
        <v>997</v>
      </c>
      <c r="N348">
        <v>452.95</v>
      </c>
    </row>
    <row r="349" spans="1:14" x14ac:dyDescent="0.25">
      <c r="A349" t="s">
        <v>14</v>
      </c>
      <c r="B349" t="s">
        <v>15</v>
      </c>
      <c r="C349" t="s">
        <v>741</v>
      </c>
      <c r="D349" t="s">
        <v>742</v>
      </c>
      <c r="E349">
        <v>111.35</v>
      </c>
      <c r="F349">
        <v>112</v>
      </c>
      <c r="G349">
        <v>112</v>
      </c>
      <c r="H349">
        <v>109.8</v>
      </c>
      <c r="I349">
        <v>110.05</v>
      </c>
      <c r="J349">
        <v>5063350</v>
      </c>
      <c r="K349">
        <v>46000</v>
      </c>
      <c r="L349" t="s">
        <v>18</v>
      </c>
      <c r="M349">
        <v>123.65</v>
      </c>
      <c r="N349">
        <v>95.5</v>
      </c>
    </row>
    <row r="350" spans="1:14" x14ac:dyDescent="0.25">
      <c r="A350" t="s">
        <v>14</v>
      </c>
      <c r="B350" t="s">
        <v>15</v>
      </c>
      <c r="C350" t="s">
        <v>743</v>
      </c>
      <c r="D350" t="s">
        <v>744</v>
      </c>
      <c r="E350">
        <v>235.1</v>
      </c>
      <c r="F350">
        <v>235</v>
      </c>
      <c r="G350">
        <v>235</v>
      </c>
      <c r="H350">
        <v>222</v>
      </c>
      <c r="I350">
        <v>224.85</v>
      </c>
      <c r="J350">
        <v>7519080</v>
      </c>
      <c r="K350">
        <v>33000</v>
      </c>
      <c r="L350" t="s">
        <v>18</v>
      </c>
      <c r="M350">
        <v>280.10000000000002</v>
      </c>
      <c r="N350">
        <v>126.5</v>
      </c>
    </row>
    <row r="351" spans="1:14" x14ac:dyDescent="0.25">
      <c r="A351" t="s">
        <v>14</v>
      </c>
      <c r="B351" t="s">
        <v>15</v>
      </c>
      <c r="C351" t="s">
        <v>747</v>
      </c>
      <c r="D351" t="s">
        <v>748</v>
      </c>
      <c r="E351">
        <v>27.55</v>
      </c>
      <c r="F351">
        <v>28.15</v>
      </c>
      <c r="G351">
        <v>28.15</v>
      </c>
      <c r="H351">
        <v>26.2</v>
      </c>
      <c r="I351">
        <v>26.25</v>
      </c>
      <c r="J351">
        <v>647520</v>
      </c>
      <c r="K351">
        <v>24000</v>
      </c>
      <c r="L351" t="s">
        <v>18</v>
      </c>
      <c r="M351">
        <v>88</v>
      </c>
      <c r="N351">
        <v>24</v>
      </c>
    </row>
    <row r="352" spans="1:14" x14ac:dyDescent="0.25">
      <c r="A352" t="s">
        <v>14</v>
      </c>
      <c r="B352" t="s">
        <v>15</v>
      </c>
      <c r="C352" t="s">
        <v>749</v>
      </c>
      <c r="D352" t="s">
        <v>750</v>
      </c>
      <c r="E352">
        <v>54</v>
      </c>
      <c r="F352">
        <v>51.35</v>
      </c>
      <c r="G352">
        <v>51.4</v>
      </c>
      <c r="H352">
        <v>51.35</v>
      </c>
      <c r="I352">
        <v>51.35</v>
      </c>
      <c r="J352">
        <v>205500</v>
      </c>
      <c r="K352">
        <v>4000</v>
      </c>
      <c r="L352" t="s">
        <v>18</v>
      </c>
      <c r="M352">
        <v>95.5</v>
      </c>
      <c r="N352">
        <v>51.35</v>
      </c>
    </row>
    <row r="353" spans="1:14" x14ac:dyDescent="0.25">
      <c r="A353" t="s">
        <v>14</v>
      </c>
      <c r="B353" t="s">
        <v>15</v>
      </c>
      <c r="C353" t="s">
        <v>981</v>
      </c>
      <c r="D353" t="s">
        <v>982</v>
      </c>
      <c r="E353">
        <v>320</v>
      </c>
      <c r="F353">
        <v>339</v>
      </c>
      <c r="G353">
        <v>344.9</v>
      </c>
      <c r="H353">
        <v>338.9</v>
      </c>
      <c r="I353">
        <v>340</v>
      </c>
      <c r="J353">
        <v>1224525</v>
      </c>
      <c r="K353">
        <v>3600</v>
      </c>
      <c r="L353" t="s">
        <v>18</v>
      </c>
      <c r="M353">
        <v>494.95</v>
      </c>
      <c r="N353">
        <v>268.7</v>
      </c>
    </row>
    <row r="354" spans="1:14" x14ac:dyDescent="0.25">
      <c r="A354" t="s">
        <v>14</v>
      </c>
      <c r="B354" t="s">
        <v>15</v>
      </c>
      <c r="C354" t="s">
        <v>751</v>
      </c>
      <c r="D354" t="s">
        <v>752</v>
      </c>
      <c r="E354">
        <v>81.8</v>
      </c>
      <c r="F354">
        <v>80</v>
      </c>
      <c r="G354">
        <v>80</v>
      </c>
      <c r="H354">
        <v>77.45</v>
      </c>
      <c r="I354">
        <v>77.75</v>
      </c>
      <c r="J354">
        <v>9366000</v>
      </c>
      <c r="K354">
        <v>118000</v>
      </c>
      <c r="L354" t="s">
        <v>18</v>
      </c>
      <c r="M354">
        <v>139.65</v>
      </c>
      <c r="N354">
        <v>77.45</v>
      </c>
    </row>
    <row r="355" spans="1:14" x14ac:dyDescent="0.25">
      <c r="A355" t="s">
        <v>14</v>
      </c>
      <c r="B355" t="s">
        <v>15</v>
      </c>
      <c r="C355" t="s">
        <v>753</v>
      </c>
      <c r="D355" t="s">
        <v>754</v>
      </c>
      <c r="E355">
        <v>30.7</v>
      </c>
      <c r="F355">
        <v>31.8</v>
      </c>
      <c r="G355">
        <v>31.8</v>
      </c>
      <c r="H355">
        <v>30.3</v>
      </c>
      <c r="I355">
        <v>30.65</v>
      </c>
      <c r="J355">
        <v>334200</v>
      </c>
      <c r="K355">
        <v>10800</v>
      </c>
      <c r="L355" t="s">
        <v>18</v>
      </c>
      <c r="M355">
        <v>86.4</v>
      </c>
      <c r="N355">
        <v>27.15</v>
      </c>
    </row>
    <row r="356" spans="1:14" x14ac:dyDescent="0.25">
      <c r="A356" t="s">
        <v>14</v>
      </c>
      <c r="B356" t="s">
        <v>15</v>
      </c>
      <c r="C356" t="s">
        <v>759</v>
      </c>
      <c r="D356" t="s">
        <v>760</v>
      </c>
      <c r="E356">
        <v>96</v>
      </c>
      <c r="F356">
        <v>100.8</v>
      </c>
      <c r="G356">
        <v>100.8</v>
      </c>
      <c r="H356">
        <v>99</v>
      </c>
      <c r="I356">
        <v>99</v>
      </c>
      <c r="J356">
        <v>802800</v>
      </c>
      <c r="K356">
        <v>8000</v>
      </c>
      <c r="L356" t="s">
        <v>18</v>
      </c>
      <c r="M356">
        <v>112.1</v>
      </c>
      <c r="N356">
        <v>50.65</v>
      </c>
    </row>
    <row r="357" spans="1:14" x14ac:dyDescent="0.25">
      <c r="A357" t="s">
        <v>14</v>
      </c>
      <c r="B357" t="s">
        <v>15</v>
      </c>
      <c r="C357" t="s">
        <v>761</v>
      </c>
      <c r="D357" t="s">
        <v>762</v>
      </c>
      <c r="E357">
        <v>144.5</v>
      </c>
      <c r="F357">
        <v>145</v>
      </c>
      <c r="G357">
        <v>145</v>
      </c>
      <c r="H357">
        <v>143</v>
      </c>
      <c r="I357">
        <v>143</v>
      </c>
      <c r="J357">
        <v>573600</v>
      </c>
      <c r="K357">
        <v>4000</v>
      </c>
      <c r="L357" t="s">
        <v>18</v>
      </c>
      <c r="M357">
        <v>171</v>
      </c>
      <c r="N357">
        <v>103</v>
      </c>
    </row>
    <row r="358" spans="1:14" x14ac:dyDescent="0.25">
      <c r="A358" t="s">
        <v>14</v>
      </c>
      <c r="B358" t="s">
        <v>15</v>
      </c>
      <c r="C358" t="s">
        <v>763</v>
      </c>
      <c r="D358" t="s">
        <v>764</v>
      </c>
      <c r="E358">
        <v>160</v>
      </c>
      <c r="F358">
        <v>154.44999999999999</v>
      </c>
      <c r="G358">
        <v>160</v>
      </c>
      <c r="H358">
        <v>154.44999999999999</v>
      </c>
      <c r="I358">
        <v>160</v>
      </c>
      <c r="J358">
        <v>1832575</v>
      </c>
      <c r="K358">
        <v>11500</v>
      </c>
      <c r="L358" t="s">
        <v>18</v>
      </c>
      <c r="M358">
        <v>263</v>
      </c>
      <c r="N358">
        <v>150</v>
      </c>
    </row>
    <row r="359" spans="1:14" x14ac:dyDescent="0.25">
      <c r="A359" t="s">
        <v>14</v>
      </c>
      <c r="B359" t="s">
        <v>15</v>
      </c>
      <c r="C359" t="s">
        <v>765</v>
      </c>
      <c r="D359" t="s">
        <v>766</v>
      </c>
      <c r="E359">
        <v>227.9</v>
      </c>
      <c r="F359">
        <v>243</v>
      </c>
      <c r="G359">
        <v>243</v>
      </c>
      <c r="H359">
        <v>230</v>
      </c>
      <c r="I359">
        <v>230</v>
      </c>
      <c r="J359">
        <v>375200</v>
      </c>
      <c r="K359">
        <v>1600</v>
      </c>
      <c r="L359" t="s">
        <v>18</v>
      </c>
      <c r="M359">
        <v>418.2</v>
      </c>
      <c r="N359">
        <v>220.4</v>
      </c>
    </row>
    <row r="360" spans="1:14" x14ac:dyDescent="0.25">
      <c r="A360" t="s">
        <v>14</v>
      </c>
      <c r="B360" t="s">
        <v>15</v>
      </c>
      <c r="C360" t="s">
        <v>767</v>
      </c>
      <c r="D360" t="s">
        <v>768</v>
      </c>
      <c r="E360">
        <v>60.55</v>
      </c>
      <c r="F360">
        <v>60.55</v>
      </c>
      <c r="G360">
        <v>62.35</v>
      </c>
      <c r="H360">
        <v>58.75</v>
      </c>
      <c r="I360">
        <v>60.2</v>
      </c>
      <c r="J360">
        <v>1166700</v>
      </c>
      <c r="K360">
        <v>19200</v>
      </c>
      <c r="L360" t="s">
        <v>18</v>
      </c>
      <c r="M360">
        <v>157.94999999999999</v>
      </c>
      <c r="N360">
        <v>58.75</v>
      </c>
    </row>
    <row r="361" spans="1:14" x14ac:dyDescent="0.25">
      <c r="A361" t="s">
        <v>14</v>
      </c>
      <c r="B361" t="s">
        <v>33</v>
      </c>
      <c r="C361" t="s">
        <v>769</v>
      </c>
      <c r="D361" t="s">
        <v>770</v>
      </c>
      <c r="E361">
        <v>8.85</v>
      </c>
      <c r="F361">
        <v>8.4499999999999993</v>
      </c>
      <c r="G361">
        <v>8.4499999999999993</v>
      </c>
      <c r="H361">
        <v>8.4499999999999993</v>
      </c>
      <c r="I361">
        <v>8.4499999999999993</v>
      </c>
      <c r="J361">
        <v>34138</v>
      </c>
      <c r="K361">
        <v>4040</v>
      </c>
      <c r="L361" t="s">
        <v>18</v>
      </c>
      <c r="M361">
        <v>21.7</v>
      </c>
      <c r="N361">
        <v>5.6</v>
      </c>
    </row>
    <row r="362" spans="1:14" x14ac:dyDescent="0.25">
      <c r="A362" t="s">
        <v>14</v>
      </c>
      <c r="B362" t="s">
        <v>15</v>
      </c>
      <c r="C362" t="s">
        <v>771</v>
      </c>
      <c r="D362" t="s">
        <v>772</v>
      </c>
      <c r="E362">
        <v>48.1</v>
      </c>
      <c r="F362">
        <v>53</v>
      </c>
      <c r="G362">
        <v>53</v>
      </c>
      <c r="H362">
        <v>50.45</v>
      </c>
      <c r="I362">
        <v>51.95</v>
      </c>
      <c r="J362">
        <v>310750</v>
      </c>
      <c r="K362">
        <v>6000</v>
      </c>
      <c r="L362" t="s">
        <v>18</v>
      </c>
      <c r="M362">
        <v>122</v>
      </c>
      <c r="N362">
        <v>45.15</v>
      </c>
    </row>
    <row r="363" spans="1:14" x14ac:dyDescent="0.25">
      <c r="A363" t="s">
        <v>14</v>
      </c>
      <c r="B363" t="s">
        <v>15</v>
      </c>
      <c r="C363" t="s">
        <v>773</v>
      </c>
      <c r="D363" t="s">
        <v>774</v>
      </c>
      <c r="E363">
        <v>23.15</v>
      </c>
      <c r="F363">
        <v>24.3</v>
      </c>
      <c r="G363">
        <v>24.3</v>
      </c>
      <c r="H363">
        <v>24.3</v>
      </c>
      <c r="I363">
        <v>24.3</v>
      </c>
      <c r="J363">
        <v>58320</v>
      </c>
      <c r="K363">
        <v>2400</v>
      </c>
      <c r="L363" t="s">
        <v>18</v>
      </c>
      <c r="M363">
        <v>43</v>
      </c>
      <c r="N363">
        <v>23.15</v>
      </c>
    </row>
    <row r="364" spans="1:14" x14ac:dyDescent="0.25">
      <c r="A364" t="s">
        <v>14</v>
      </c>
      <c r="B364" t="s">
        <v>15</v>
      </c>
      <c r="C364" t="s">
        <v>775</v>
      </c>
      <c r="D364" t="s">
        <v>776</v>
      </c>
      <c r="E364">
        <v>38.5</v>
      </c>
      <c r="F364">
        <v>37.950000000000003</v>
      </c>
      <c r="G364">
        <v>39.1</v>
      </c>
      <c r="H364">
        <v>37.75</v>
      </c>
      <c r="I364">
        <v>39.1</v>
      </c>
      <c r="J364">
        <v>419300</v>
      </c>
      <c r="K364">
        <v>11000</v>
      </c>
      <c r="L364" t="s">
        <v>18</v>
      </c>
      <c r="M364">
        <v>118</v>
      </c>
      <c r="N364">
        <v>37.6</v>
      </c>
    </row>
    <row r="365" spans="1:14" x14ac:dyDescent="0.25">
      <c r="A365" t="s">
        <v>14</v>
      </c>
      <c r="B365" t="s">
        <v>15</v>
      </c>
      <c r="C365" t="s">
        <v>777</v>
      </c>
      <c r="D365" t="s">
        <v>778</v>
      </c>
      <c r="E365">
        <v>71.3</v>
      </c>
      <c r="F365">
        <v>74</v>
      </c>
      <c r="G365">
        <v>74.95</v>
      </c>
      <c r="H365">
        <v>74</v>
      </c>
      <c r="I365">
        <v>74.95</v>
      </c>
      <c r="J365">
        <v>335625</v>
      </c>
      <c r="K365">
        <v>4500</v>
      </c>
      <c r="L365" t="s">
        <v>18</v>
      </c>
      <c r="M365">
        <v>145</v>
      </c>
      <c r="N365">
        <v>68.599999999999994</v>
      </c>
    </row>
    <row r="366" spans="1:14" x14ac:dyDescent="0.25">
      <c r="A366" t="s">
        <v>14</v>
      </c>
      <c r="B366" t="s">
        <v>15</v>
      </c>
      <c r="C366" t="s">
        <v>779</v>
      </c>
      <c r="D366" t="s">
        <v>780</v>
      </c>
      <c r="E366">
        <v>112.9</v>
      </c>
      <c r="F366">
        <v>118</v>
      </c>
      <c r="G366">
        <v>118.5</v>
      </c>
      <c r="H366">
        <v>118</v>
      </c>
      <c r="I366">
        <v>118.3</v>
      </c>
      <c r="J366">
        <v>425940</v>
      </c>
      <c r="K366">
        <v>3600</v>
      </c>
      <c r="L366" t="s">
        <v>18</v>
      </c>
      <c r="M366">
        <v>152.35</v>
      </c>
      <c r="N366">
        <v>88.05</v>
      </c>
    </row>
    <row r="367" spans="1:14" x14ac:dyDescent="0.25">
      <c r="A367" t="s">
        <v>14</v>
      </c>
      <c r="B367" t="s">
        <v>33</v>
      </c>
      <c r="C367" t="s">
        <v>781</v>
      </c>
      <c r="D367" t="s">
        <v>782</v>
      </c>
      <c r="E367">
        <v>128.19999999999999</v>
      </c>
      <c r="F367">
        <v>121.8</v>
      </c>
      <c r="G367">
        <v>121.8</v>
      </c>
      <c r="H367">
        <v>121.8</v>
      </c>
      <c r="I367">
        <v>121.8</v>
      </c>
      <c r="J367">
        <v>194880</v>
      </c>
      <c r="K367">
        <v>1600</v>
      </c>
      <c r="L367" t="s">
        <v>18</v>
      </c>
      <c r="M367">
        <v>199.4</v>
      </c>
      <c r="N367">
        <v>104.55</v>
      </c>
    </row>
    <row r="368" spans="1:14" x14ac:dyDescent="0.25">
      <c r="A368" t="s">
        <v>14</v>
      </c>
      <c r="B368" t="s">
        <v>15</v>
      </c>
      <c r="C368" t="s">
        <v>783</v>
      </c>
      <c r="D368" t="s">
        <v>784</v>
      </c>
      <c r="E368">
        <v>51.5</v>
      </c>
      <c r="F368">
        <v>50</v>
      </c>
      <c r="G368">
        <v>50</v>
      </c>
      <c r="H368">
        <v>49.5</v>
      </c>
      <c r="I368">
        <v>49.85</v>
      </c>
      <c r="J368">
        <v>399000</v>
      </c>
      <c r="K368">
        <v>8000</v>
      </c>
      <c r="L368" t="s">
        <v>18</v>
      </c>
      <c r="M368">
        <v>60</v>
      </c>
      <c r="N368">
        <v>46.55</v>
      </c>
    </row>
    <row r="369" spans="1:14" x14ac:dyDescent="0.25">
      <c r="A369" t="s">
        <v>14</v>
      </c>
      <c r="B369" t="s">
        <v>15</v>
      </c>
      <c r="C369" t="s">
        <v>785</v>
      </c>
      <c r="D369" t="s">
        <v>786</v>
      </c>
      <c r="E369">
        <v>87.55</v>
      </c>
      <c r="F369">
        <v>85.3</v>
      </c>
      <c r="G369">
        <v>89.95</v>
      </c>
      <c r="H369">
        <v>83.2</v>
      </c>
      <c r="I369">
        <v>89.95</v>
      </c>
      <c r="J369">
        <v>617960</v>
      </c>
      <c r="K369">
        <v>7200</v>
      </c>
      <c r="L369" t="s">
        <v>18</v>
      </c>
      <c r="M369">
        <v>172.8</v>
      </c>
      <c r="N369">
        <v>69.3</v>
      </c>
    </row>
    <row r="370" spans="1:14" x14ac:dyDescent="0.25">
      <c r="A370" t="s">
        <v>14</v>
      </c>
      <c r="B370" t="s">
        <v>15</v>
      </c>
      <c r="C370" t="s">
        <v>789</v>
      </c>
      <c r="D370" t="s">
        <v>790</v>
      </c>
      <c r="E370">
        <v>115</v>
      </c>
      <c r="F370">
        <v>109</v>
      </c>
      <c r="G370">
        <v>114.95</v>
      </c>
      <c r="H370">
        <v>105.55</v>
      </c>
      <c r="I370">
        <v>109</v>
      </c>
      <c r="J370">
        <v>7637760</v>
      </c>
      <c r="K370">
        <v>70800</v>
      </c>
      <c r="L370" t="s">
        <v>18</v>
      </c>
      <c r="M370">
        <v>173.55</v>
      </c>
      <c r="N370">
        <v>105.55</v>
      </c>
    </row>
    <row r="371" spans="1:14" x14ac:dyDescent="0.25">
      <c r="A371" t="s">
        <v>14</v>
      </c>
      <c r="B371" t="s">
        <v>15</v>
      </c>
      <c r="C371" t="s">
        <v>791</v>
      </c>
      <c r="D371" t="s">
        <v>792</v>
      </c>
      <c r="E371">
        <v>86.15</v>
      </c>
      <c r="F371">
        <v>88.5</v>
      </c>
      <c r="G371">
        <v>101</v>
      </c>
      <c r="H371">
        <v>86</v>
      </c>
      <c r="I371">
        <v>99.7</v>
      </c>
      <c r="J371">
        <v>4314250</v>
      </c>
      <c r="K371">
        <v>45500</v>
      </c>
      <c r="L371" t="s">
        <v>18</v>
      </c>
      <c r="M371">
        <v>216</v>
      </c>
      <c r="N371">
        <v>86</v>
      </c>
    </row>
    <row r="372" spans="1:14" x14ac:dyDescent="0.25">
      <c r="A372" t="s">
        <v>14</v>
      </c>
      <c r="B372" t="s">
        <v>15</v>
      </c>
      <c r="C372" t="s">
        <v>793</v>
      </c>
      <c r="D372" t="s">
        <v>794</v>
      </c>
      <c r="E372">
        <v>40.549999999999997</v>
      </c>
      <c r="F372">
        <v>40.549999999999997</v>
      </c>
      <c r="G372">
        <v>40.549999999999997</v>
      </c>
      <c r="H372">
        <v>39</v>
      </c>
      <c r="I372">
        <v>40</v>
      </c>
      <c r="J372">
        <v>1623900</v>
      </c>
      <c r="K372">
        <v>41000</v>
      </c>
      <c r="L372" t="s">
        <v>18</v>
      </c>
      <c r="M372">
        <v>93</v>
      </c>
      <c r="N372">
        <v>39</v>
      </c>
    </row>
    <row r="373" spans="1:14" x14ac:dyDescent="0.25">
      <c r="A373" t="s">
        <v>14</v>
      </c>
      <c r="B373" t="s">
        <v>15</v>
      </c>
      <c r="C373" t="s">
        <v>795</v>
      </c>
      <c r="D373" t="s">
        <v>796</v>
      </c>
      <c r="E373">
        <v>11.4</v>
      </c>
      <c r="F373">
        <v>11.4</v>
      </c>
      <c r="G373">
        <v>11.4</v>
      </c>
      <c r="H373">
        <v>11</v>
      </c>
      <c r="I373">
        <v>11.2</v>
      </c>
      <c r="J373">
        <v>356600</v>
      </c>
      <c r="K373">
        <v>32000</v>
      </c>
      <c r="L373" t="s">
        <v>18</v>
      </c>
      <c r="M373">
        <v>43.2</v>
      </c>
      <c r="N373">
        <v>10.15</v>
      </c>
    </row>
    <row r="374" spans="1:14" x14ac:dyDescent="0.25">
      <c r="A374" t="s">
        <v>14</v>
      </c>
      <c r="B374" t="s">
        <v>15</v>
      </c>
      <c r="C374" t="s">
        <v>797</v>
      </c>
      <c r="D374" t="s">
        <v>798</v>
      </c>
      <c r="E374">
        <v>115.8</v>
      </c>
      <c r="F374">
        <v>115</v>
      </c>
      <c r="G374">
        <v>118.9</v>
      </c>
      <c r="H374">
        <v>114</v>
      </c>
      <c r="I374">
        <v>117.35</v>
      </c>
      <c r="J374">
        <v>1536120</v>
      </c>
      <c r="K374">
        <v>13200</v>
      </c>
      <c r="L374" t="s">
        <v>18</v>
      </c>
      <c r="M374">
        <v>200</v>
      </c>
      <c r="N374">
        <v>108</v>
      </c>
    </row>
    <row r="375" spans="1:14" x14ac:dyDescent="0.25">
      <c r="A375" t="s">
        <v>14</v>
      </c>
      <c r="B375" t="s">
        <v>15</v>
      </c>
      <c r="C375" t="s">
        <v>799</v>
      </c>
      <c r="D375" t="s">
        <v>800</v>
      </c>
      <c r="E375">
        <v>29.8</v>
      </c>
      <c r="F375">
        <v>29.2</v>
      </c>
      <c r="G375">
        <v>30.45</v>
      </c>
      <c r="H375">
        <v>27.35</v>
      </c>
      <c r="I375">
        <v>28.6</v>
      </c>
      <c r="J375">
        <v>2243440</v>
      </c>
      <c r="K375">
        <v>78400</v>
      </c>
      <c r="L375" t="s">
        <v>18</v>
      </c>
      <c r="M375">
        <v>68.8</v>
      </c>
      <c r="N375">
        <v>27.35</v>
      </c>
    </row>
    <row r="376" spans="1:14" x14ac:dyDescent="0.25">
      <c r="A376" t="s">
        <v>14</v>
      </c>
      <c r="B376" t="s">
        <v>15</v>
      </c>
      <c r="C376" t="s">
        <v>801</v>
      </c>
      <c r="D376" t="s">
        <v>802</v>
      </c>
      <c r="E376">
        <v>200</v>
      </c>
      <c r="F376">
        <v>196</v>
      </c>
      <c r="G376">
        <v>199</v>
      </c>
      <c r="H376">
        <v>196</v>
      </c>
      <c r="I376">
        <v>199</v>
      </c>
      <c r="J376">
        <v>79000</v>
      </c>
      <c r="K376">
        <v>400</v>
      </c>
      <c r="L376" t="s">
        <v>18</v>
      </c>
      <c r="M376">
        <v>510</v>
      </c>
      <c r="N376">
        <v>181.1</v>
      </c>
    </row>
    <row r="377" spans="1:14" x14ac:dyDescent="0.25">
      <c r="A377" t="s">
        <v>14</v>
      </c>
      <c r="B377" t="s">
        <v>33</v>
      </c>
      <c r="C377" t="s">
        <v>803</v>
      </c>
      <c r="D377" t="s">
        <v>804</v>
      </c>
      <c r="E377">
        <v>387.55</v>
      </c>
      <c r="F377">
        <v>399.95</v>
      </c>
      <c r="G377">
        <v>406.9</v>
      </c>
      <c r="H377">
        <v>382.5</v>
      </c>
      <c r="I377">
        <v>391.1</v>
      </c>
      <c r="J377">
        <v>19740840</v>
      </c>
      <c r="K377">
        <v>49200</v>
      </c>
      <c r="L377" t="s">
        <v>18</v>
      </c>
      <c r="M377">
        <v>415.5</v>
      </c>
      <c r="N377">
        <v>91</v>
      </c>
    </row>
    <row r="378" spans="1:14" x14ac:dyDescent="0.25">
      <c r="A378" t="s">
        <v>14</v>
      </c>
      <c r="B378" t="s">
        <v>15</v>
      </c>
      <c r="C378" t="s">
        <v>807</v>
      </c>
      <c r="D378" t="s">
        <v>808</v>
      </c>
      <c r="E378">
        <v>35.9</v>
      </c>
      <c r="F378">
        <v>37.200000000000003</v>
      </c>
      <c r="G378">
        <v>38.799999999999997</v>
      </c>
      <c r="H378">
        <v>35.4</v>
      </c>
      <c r="I378">
        <v>35.4</v>
      </c>
      <c r="J378">
        <v>2307440</v>
      </c>
      <c r="K378">
        <v>64000</v>
      </c>
      <c r="L378" t="s">
        <v>18</v>
      </c>
      <c r="M378">
        <v>110</v>
      </c>
      <c r="N378">
        <v>32.200000000000003</v>
      </c>
    </row>
    <row r="379" spans="1:14" x14ac:dyDescent="0.25">
      <c r="A379" t="s">
        <v>14</v>
      </c>
      <c r="B379" t="s">
        <v>15</v>
      </c>
      <c r="C379" t="s">
        <v>809</v>
      </c>
      <c r="D379" t="s">
        <v>810</v>
      </c>
      <c r="E379">
        <v>27.1</v>
      </c>
      <c r="F379">
        <v>26.05</v>
      </c>
      <c r="G379">
        <v>27</v>
      </c>
      <c r="H379">
        <v>26.05</v>
      </c>
      <c r="I379">
        <v>26.25</v>
      </c>
      <c r="J379">
        <v>168960</v>
      </c>
      <c r="K379">
        <v>6400</v>
      </c>
      <c r="L379" t="s">
        <v>18</v>
      </c>
      <c r="M379">
        <v>49</v>
      </c>
      <c r="N379">
        <v>26</v>
      </c>
    </row>
    <row r="380" spans="1:14" x14ac:dyDescent="0.25">
      <c r="A380" t="s">
        <v>14</v>
      </c>
      <c r="B380" t="s">
        <v>15</v>
      </c>
      <c r="C380" t="s">
        <v>811</v>
      </c>
      <c r="D380" t="s">
        <v>812</v>
      </c>
      <c r="E380">
        <v>156.4</v>
      </c>
      <c r="F380">
        <v>156.4</v>
      </c>
      <c r="G380">
        <v>160</v>
      </c>
      <c r="H380">
        <v>156.4</v>
      </c>
      <c r="I380">
        <v>158.69999999999999</v>
      </c>
      <c r="J380">
        <v>3163350</v>
      </c>
      <c r="K380">
        <v>20000</v>
      </c>
      <c r="L380" t="s">
        <v>18</v>
      </c>
      <c r="M380">
        <v>240.05</v>
      </c>
      <c r="N380">
        <v>100</v>
      </c>
    </row>
    <row r="381" spans="1:14" x14ac:dyDescent="0.25">
      <c r="A381" t="s">
        <v>14</v>
      </c>
      <c r="B381" t="s">
        <v>15</v>
      </c>
      <c r="C381" t="s">
        <v>813</v>
      </c>
      <c r="D381" t="s">
        <v>814</v>
      </c>
      <c r="E381">
        <v>57.8</v>
      </c>
      <c r="F381">
        <v>58.7</v>
      </c>
      <c r="G381">
        <v>61.3</v>
      </c>
      <c r="H381">
        <v>58.7</v>
      </c>
      <c r="I381">
        <v>61.3</v>
      </c>
      <c r="J381">
        <v>47480</v>
      </c>
      <c r="K381">
        <v>800</v>
      </c>
      <c r="L381" t="s">
        <v>18</v>
      </c>
      <c r="M381">
        <v>191.85</v>
      </c>
      <c r="N381">
        <v>47.5</v>
      </c>
    </row>
    <row r="382" spans="1:14" x14ac:dyDescent="0.25">
      <c r="A382" t="s">
        <v>14</v>
      </c>
      <c r="B382" t="s">
        <v>33</v>
      </c>
      <c r="C382" t="s">
        <v>815</v>
      </c>
      <c r="D382" t="s">
        <v>816</v>
      </c>
      <c r="E382">
        <v>267.8</v>
      </c>
      <c r="F382">
        <v>272</v>
      </c>
      <c r="G382">
        <v>278</v>
      </c>
      <c r="H382">
        <v>271</v>
      </c>
      <c r="I382">
        <v>274.85000000000002</v>
      </c>
      <c r="J382">
        <v>27876625</v>
      </c>
      <c r="K382">
        <v>101500</v>
      </c>
      <c r="L382" t="s">
        <v>18</v>
      </c>
      <c r="M382">
        <v>287.45</v>
      </c>
      <c r="N382">
        <v>138.5</v>
      </c>
    </row>
    <row r="383" spans="1:14" x14ac:dyDescent="0.25">
      <c r="A383" t="s">
        <v>14</v>
      </c>
      <c r="B383" t="s">
        <v>15</v>
      </c>
      <c r="C383" t="s">
        <v>817</v>
      </c>
      <c r="D383" t="s">
        <v>818</v>
      </c>
      <c r="E383">
        <v>19</v>
      </c>
      <c r="F383">
        <v>19.5</v>
      </c>
      <c r="G383">
        <v>19.8</v>
      </c>
      <c r="H383">
        <v>19.100000000000001</v>
      </c>
      <c r="I383">
        <v>19.8</v>
      </c>
      <c r="J383">
        <v>93720</v>
      </c>
      <c r="K383">
        <v>4800</v>
      </c>
      <c r="L383" t="s">
        <v>18</v>
      </c>
      <c r="M383">
        <v>52.95</v>
      </c>
      <c r="N383">
        <v>18.899999999999999</v>
      </c>
    </row>
    <row r="384" spans="1:14" x14ac:dyDescent="0.25">
      <c r="A384" t="s">
        <v>14</v>
      </c>
      <c r="B384" t="s">
        <v>15</v>
      </c>
      <c r="C384" t="s">
        <v>819</v>
      </c>
      <c r="D384" t="s">
        <v>820</v>
      </c>
      <c r="E384">
        <v>50</v>
      </c>
      <c r="F384">
        <v>50</v>
      </c>
      <c r="G384">
        <v>50.1</v>
      </c>
      <c r="H384">
        <v>50</v>
      </c>
      <c r="I384">
        <v>50.1</v>
      </c>
      <c r="J384">
        <v>200200</v>
      </c>
      <c r="K384">
        <v>4000</v>
      </c>
      <c r="L384" t="s">
        <v>18</v>
      </c>
      <c r="M384">
        <v>95</v>
      </c>
      <c r="N384">
        <v>50</v>
      </c>
    </row>
    <row r="385" spans="1:14" x14ac:dyDescent="0.25">
      <c r="A385" t="s">
        <v>14</v>
      </c>
      <c r="B385" t="s">
        <v>15</v>
      </c>
      <c r="C385" t="s">
        <v>983</v>
      </c>
      <c r="D385" t="s">
        <v>984</v>
      </c>
      <c r="E385">
        <v>50</v>
      </c>
      <c r="F385">
        <v>48.35</v>
      </c>
      <c r="G385">
        <v>48.35</v>
      </c>
      <c r="H385">
        <v>48.3</v>
      </c>
      <c r="I385">
        <v>48.3</v>
      </c>
      <c r="J385">
        <v>57990</v>
      </c>
      <c r="K385">
        <v>1200</v>
      </c>
      <c r="L385" t="s">
        <v>18</v>
      </c>
      <c r="M385">
        <v>125</v>
      </c>
      <c r="N385">
        <v>48</v>
      </c>
    </row>
    <row r="386" spans="1:14" x14ac:dyDescent="0.25">
      <c r="A386" t="s">
        <v>14</v>
      </c>
      <c r="B386" t="s">
        <v>33</v>
      </c>
      <c r="C386" t="s">
        <v>821</v>
      </c>
      <c r="D386" t="s">
        <v>822</v>
      </c>
      <c r="E386">
        <v>277.10000000000002</v>
      </c>
      <c r="F386">
        <v>279.85000000000002</v>
      </c>
      <c r="G386">
        <v>279.85000000000002</v>
      </c>
      <c r="H386">
        <v>278</v>
      </c>
      <c r="I386">
        <v>278</v>
      </c>
      <c r="J386">
        <v>1892880</v>
      </c>
      <c r="K386">
        <v>6800</v>
      </c>
      <c r="L386" t="s">
        <v>18</v>
      </c>
      <c r="M386">
        <v>411</v>
      </c>
      <c r="N386">
        <v>192.25</v>
      </c>
    </row>
    <row r="387" spans="1:14" x14ac:dyDescent="0.25">
      <c r="A387" t="s">
        <v>14</v>
      </c>
      <c r="B387" t="s">
        <v>15</v>
      </c>
      <c r="C387" t="s">
        <v>823</v>
      </c>
      <c r="D387" t="s">
        <v>824</v>
      </c>
      <c r="E387">
        <v>623</v>
      </c>
      <c r="F387">
        <v>615</v>
      </c>
      <c r="G387">
        <v>624</v>
      </c>
      <c r="H387">
        <v>606.95000000000005</v>
      </c>
      <c r="I387">
        <v>616.20000000000005</v>
      </c>
      <c r="J387">
        <v>25935200</v>
      </c>
      <c r="K387">
        <v>42200</v>
      </c>
      <c r="L387" t="s">
        <v>18</v>
      </c>
      <c r="M387">
        <v>1605.35</v>
      </c>
      <c r="N387">
        <v>590</v>
      </c>
    </row>
    <row r="388" spans="1:14" x14ac:dyDescent="0.25">
      <c r="A388" t="s">
        <v>14</v>
      </c>
      <c r="B388" t="s">
        <v>33</v>
      </c>
      <c r="C388" t="s">
        <v>825</v>
      </c>
      <c r="D388" t="s">
        <v>826</v>
      </c>
      <c r="E388">
        <v>586.65</v>
      </c>
      <c r="F388">
        <v>572</v>
      </c>
      <c r="G388">
        <v>572</v>
      </c>
      <c r="H388">
        <v>570</v>
      </c>
      <c r="I388">
        <v>570</v>
      </c>
      <c r="J388">
        <v>998750</v>
      </c>
      <c r="K388">
        <v>1750</v>
      </c>
      <c r="L388" t="s">
        <v>18</v>
      </c>
      <c r="M388">
        <v>817.6</v>
      </c>
      <c r="N388">
        <v>152.55000000000001</v>
      </c>
    </row>
    <row r="389" spans="1:14" x14ac:dyDescent="0.25">
      <c r="A389" t="s">
        <v>14</v>
      </c>
      <c r="B389" t="s">
        <v>15</v>
      </c>
      <c r="C389" t="s">
        <v>827</v>
      </c>
      <c r="D389" t="s">
        <v>828</v>
      </c>
      <c r="E389">
        <v>69</v>
      </c>
      <c r="F389">
        <v>67.5</v>
      </c>
      <c r="G389">
        <v>67.5</v>
      </c>
      <c r="H389">
        <v>67.5</v>
      </c>
      <c r="I389">
        <v>67.5</v>
      </c>
      <c r="J389">
        <v>101250</v>
      </c>
      <c r="K389">
        <v>1500</v>
      </c>
      <c r="L389" t="s">
        <v>18</v>
      </c>
      <c r="M389">
        <v>107.85</v>
      </c>
      <c r="N389">
        <v>59</v>
      </c>
    </row>
    <row r="390" spans="1:14" x14ac:dyDescent="0.25">
      <c r="A390" t="s">
        <v>14</v>
      </c>
      <c r="B390" t="s">
        <v>15</v>
      </c>
      <c r="C390" t="s">
        <v>829</v>
      </c>
      <c r="D390" t="s">
        <v>830</v>
      </c>
      <c r="E390">
        <v>245.3</v>
      </c>
      <c r="F390">
        <v>249.45</v>
      </c>
      <c r="G390">
        <v>252</v>
      </c>
      <c r="H390">
        <v>249.45</v>
      </c>
      <c r="I390">
        <v>252</v>
      </c>
      <c r="J390">
        <v>1003560</v>
      </c>
      <c r="K390">
        <v>4000</v>
      </c>
      <c r="L390" t="s">
        <v>18</v>
      </c>
      <c r="M390">
        <v>425</v>
      </c>
      <c r="N390">
        <v>193.9</v>
      </c>
    </row>
    <row r="391" spans="1:14" x14ac:dyDescent="0.25">
      <c r="A391" t="s">
        <v>14</v>
      </c>
      <c r="B391" t="s">
        <v>15</v>
      </c>
      <c r="C391" t="s">
        <v>831</v>
      </c>
      <c r="D391" t="s">
        <v>832</v>
      </c>
      <c r="E391">
        <v>72.05</v>
      </c>
      <c r="F391">
        <v>72.900000000000006</v>
      </c>
      <c r="G391">
        <v>73.849999999999994</v>
      </c>
      <c r="H391">
        <v>72.3</v>
      </c>
      <c r="I391">
        <v>73.349999999999994</v>
      </c>
      <c r="J391">
        <v>658620</v>
      </c>
      <c r="K391">
        <v>9000</v>
      </c>
      <c r="L391" t="s">
        <v>18</v>
      </c>
      <c r="M391">
        <v>175</v>
      </c>
      <c r="N391">
        <v>71.599999999999994</v>
      </c>
    </row>
    <row r="392" spans="1:14" x14ac:dyDescent="0.25">
      <c r="A392" t="s">
        <v>14</v>
      </c>
      <c r="B392" t="s">
        <v>15</v>
      </c>
      <c r="C392" t="s">
        <v>833</v>
      </c>
      <c r="D392" t="s">
        <v>834</v>
      </c>
      <c r="E392">
        <v>516.85</v>
      </c>
      <c r="F392">
        <v>492.05</v>
      </c>
      <c r="G392">
        <v>509</v>
      </c>
      <c r="H392">
        <v>489.55</v>
      </c>
      <c r="I392">
        <v>495.35</v>
      </c>
      <c r="J392">
        <v>24351150</v>
      </c>
      <c r="K392">
        <v>49200</v>
      </c>
      <c r="L392" t="s">
        <v>18</v>
      </c>
      <c r="M392">
        <v>843.6</v>
      </c>
      <c r="N392">
        <v>366.7</v>
      </c>
    </row>
    <row r="393" spans="1:14" x14ac:dyDescent="0.25">
      <c r="A393" t="s">
        <v>14</v>
      </c>
      <c r="B393" t="s">
        <v>15</v>
      </c>
      <c r="C393" t="s">
        <v>835</v>
      </c>
      <c r="D393" t="s">
        <v>836</v>
      </c>
      <c r="E393">
        <v>216.6</v>
      </c>
      <c r="F393">
        <v>227.4</v>
      </c>
      <c r="G393">
        <v>227.4</v>
      </c>
      <c r="H393">
        <v>218</v>
      </c>
      <c r="I393">
        <v>227.4</v>
      </c>
      <c r="J393">
        <v>30428080</v>
      </c>
      <c r="K393">
        <v>134400</v>
      </c>
      <c r="L393" t="s">
        <v>18</v>
      </c>
      <c r="M393">
        <v>325.7</v>
      </c>
      <c r="N393">
        <v>115.6</v>
      </c>
    </row>
    <row r="394" spans="1:14" x14ac:dyDescent="0.25">
      <c r="A394" t="s">
        <v>204</v>
      </c>
      <c r="B394" t="s">
        <v>33</v>
      </c>
      <c r="C394" t="s">
        <v>837</v>
      </c>
      <c r="D394" t="s">
        <v>838</v>
      </c>
      <c r="E394">
        <v>58.35</v>
      </c>
      <c r="F394">
        <v>57.2</v>
      </c>
      <c r="G394">
        <v>57.2</v>
      </c>
      <c r="H394">
        <v>57.2</v>
      </c>
      <c r="I394">
        <v>57.2</v>
      </c>
      <c r="J394">
        <v>57200</v>
      </c>
      <c r="K394">
        <v>1000</v>
      </c>
      <c r="L394" t="s">
        <v>18</v>
      </c>
      <c r="M394">
        <v>487.95</v>
      </c>
      <c r="N394">
        <v>38.5</v>
      </c>
    </row>
    <row r="395" spans="1:14" x14ac:dyDescent="0.25">
      <c r="A395" t="s">
        <v>14</v>
      </c>
      <c r="B395" t="s">
        <v>15</v>
      </c>
      <c r="C395" t="s">
        <v>839</v>
      </c>
      <c r="D395" t="s">
        <v>840</v>
      </c>
      <c r="E395">
        <v>300</v>
      </c>
      <c r="F395">
        <v>291</v>
      </c>
      <c r="G395">
        <v>291</v>
      </c>
      <c r="H395">
        <v>291</v>
      </c>
      <c r="I395">
        <v>291</v>
      </c>
      <c r="J395">
        <v>232800</v>
      </c>
      <c r="K395">
        <v>800</v>
      </c>
      <c r="L395" t="s">
        <v>18</v>
      </c>
      <c r="M395">
        <v>363.6</v>
      </c>
      <c r="N395">
        <v>141.05000000000001</v>
      </c>
    </row>
    <row r="396" spans="1:14" x14ac:dyDescent="0.25">
      <c r="A396" t="s">
        <v>14</v>
      </c>
      <c r="B396" t="s">
        <v>15</v>
      </c>
      <c r="C396" t="s">
        <v>841</v>
      </c>
      <c r="D396" t="s">
        <v>842</v>
      </c>
      <c r="E396">
        <v>88.85</v>
      </c>
      <c r="F396">
        <v>88</v>
      </c>
      <c r="G396">
        <v>88.6</v>
      </c>
      <c r="H396">
        <v>88</v>
      </c>
      <c r="I396">
        <v>88.15</v>
      </c>
      <c r="J396">
        <v>987760</v>
      </c>
      <c r="K396">
        <v>11200</v>
      </c>
      <c r="L396" t="s">
        <v>18</v>
      </c>
      <c r="M396">
        <v>137</v>
      </c>
      <c r="N396">
        <v>77.150000000000006</v>
      </c>
    </row>
    <row r="397" spans="1:14" x14ac:dyDescent="0.25">
      <c r="A397" t="s">
        <v>14</v>
      </c>
      <c r="B397" t="s">
        <v>15</v>
      </c>
      <c r="C397" t="s">
        <v>843</v>
      </c>
      <c r="D397" t="s">
        <v>844</v>
      </c>
      <c r="E397">
        <v>22.65</v>
      </c>
      <c r="F397">
        <v>21.55</v>
      </c>
      <c r="G397">
        <v>21.55</v>
      </c>
      <c r="H397">
        <v>21.55</v>
      </c>
      <c r="I397">
        <v>21.55</v>
      </c>
      <c r="J397">
        <v>193950</v>
      </c>
      <c r="K397">
        <v>9000</v>
      </c>
      <c r="L397" t="s">
        <v>18</v>
      </c>
      <c r="M397">
        <v>43.5</v>
      </c>
      <c r="N397">
        <v>21.55</v>
      </c>
    </row>
    <row r="398" spans="1:14" x14ac:dyDescent="0.25">
      <c r="A398" t="s">
        <v>14</v>
      </c>
      <c r="B398" t="s">
        <v>15</v>
      </c>
      <c r="C398" t="s">
        <v>847</v>
      </c>
      <c r="D398" t="s">
        <v>848</v>
      </c>
      <c r="E398">
        <v>145.19999999999999</v>
      </c>
      <c r="F398">
        <v>145</v>
      </c>
      <c r="G398">
        <v>151.44999999999999</v>
      </c>
      <c r="H398">
        <v>142.15</v>
      </c>
      <c r="I398">
        <v>149.44999999999999</v>
      </c>
      <c r="J398">
        <v>14818150</v>
      </c>
      <c r="K398">
        <v>100000</v>
      </c>
      <c r="L398" t="s">
        <v>18</v>
      </c>
      <c r="M398">
        <v>167.95</v>
      </c>
      <c r="N398">
        <v>85</v>
      </c>
    </row>
    <row r="399" spans="1:14" x14ac:dyDescent="0.25">
      <c r="A399" t="s">
        <v>14</v>
      </c>
      <c r="B399" t="s">
        <v>15</v>
      </c>
      <c r="C399" t="s">
        <v>849</v>
      </c>
      <c r="D399" t="s">
        <v>850</v>
      </c>
      <c r="E399">
        <v>237.75</v>
      </c>
      <c r="F399">
        <v>249.25</v>
      </c>
      <c r="G399">
        <v>249.6</v>
      </c>
      <c r="H399">
        <v>230.5</v>
      </c>
      <c r="I399">
        <v>249.6</v>
      </c>
      <c r="J399">
        <v>6067900</v>
      </c>
      <c r="K399">
        <v>24875</v>
      </c>
      <c r="L399" t="s">
        <v>18</v>
      </c>
      <c r="M399">
        <v>1328</v>
      </c>
      <c r="N399">
        <v>204.95</v>
      </c>
    </row>
    <row r="400" spans="1:14" x14ac:dyDescent="0.25">
      <c r="A400" t="s">
        <v>14</v>
      </c>
      <c r="B400" t="s">
        <v>15</v>
      </c>
      <c r="C400" t="s">
        <v>851</v>
      </c>
      <c r="D400" t="s">
        <v>852</v>
      </c>
      <c r="E400">
        <v>14.5</v>
      </c>
      <c r="F400">
        <v>14.5</v>
      </c>
      <c r="G400">
        <v>14.5</v>
      </c>
      <c r="H400">
        <v>14.5</v>
      </c>
      <c r="I400">
        <v>14.5</v>
      </c>
      <c r="J400">
        <v>43500</v>
      </c>
      <c r="K400">
        <v>3000</v>
      </c>
      <c r="L400" t="s">
        <v>18</v>
      </c>
      <c r="M400">
        <v>37.799999999999997</v>
      </c>
      <c r="N400">
        <v>13</v>
      </c>
    </row>
    <row r="401" spans="1:14" x14ac:dyDescent="0.25">
      <c r="A401" t="s">
        <v>14</v>
      </c>
      <c r="B401" t="s">
        <v>15</v>
      </c>
      <c r="C401" t="s">
        <v>853</v>
      </c>
      <c r="D401" t="s">
        <v>854</v>
      </c>
      <c r="E401">
        <v>56.6</v>
      </c>
      <c r="F401">
        <v>54.2</v>
      </c>
      <c r="G401">
        <v>56.2</v>
      </c>
      <c r="H401">
        <v>51.3</v>
      </c>
      <c r="I401">
        <v>53.2</v>
      </c>
      <c r="J401">
        <v>1712910</v>
      </c>
      <c r="K401">
        <v>32400</v>
      </c>
      <c r="L401" t="s">
        <v>18</v>
      </c>
      <c r="M401">
        <v>227.55</v>
      </c>
      <c r="N401">
        <v>51.3</v>
      </c>
    </row>
    <row r="402" spans="1:14" x14ac:dyDescent="0.25">
      <c r="A402" t="s">
        <v>14</v>
      </c>
      <c r="B402" t="s">
        <v>15</v>
      </c>
      <c r="C402" t="s">
        <v>855</v>
      </c>
      <c r="D402" t="s">
        <v>856</v>
      </c>
      <c r="E402">
        <v>40.25</v>
      </c>
      <c r="F402">
        <v>39.25</v>
      </c>
      <c r="G402">
        <v>43</v>
      </c>
      <c r="H402">
        <v>38</v>
      </c>
      <c r="I402">
        <v>42.15</v>
      </c>
      <c r="J402">
        <v>865290</v>
      </c>
      <c r="K402">
        <v>21000</v>
      </c>
      <c r="L402" t="s">
        <v>18</v>
      </c>
      <c r="M402">
        <v>120</v>
      </c>
      <c r="N402">
        <v>38</v>
      </c>
    </row>
    <row r="403" spans="1:14" x14ac:dyDescent="0.25">
      <c r="A403" t="s">
        <v>14</v>
      </c>
      <c r="B403" t="s">
        <v>15</v>
      </c>
      <c r="C403" t="s">
        <v>857</v>
      </c>
      <c r="D403" t="s">
        <v>858</v>
      </c>
      <c r="E403">
        <v>35.9</v>
      </c>
      <c r="F403">
        <v>34</v>
      </c>
      <c r="G403">
        <v>35.299999999999997</v>
      </c>
      <c r="H403">
        <v>34</v>
      </c>
      <c r="I403">
        <v>34.75</v>
      </c>
      <c r="J403">
        <v>963700</v>
      </c>
      <c r="K403">
        <v>28000</v>
      </c>
      <c r="L403" t="s">
        <v>18</v>
      </c>
      <c r="M403">
        <v>79.3</v>
      </c>
      <c r="N403">
        <v>34</v>
      </c>
    </row>
    <row r="404" spans="1:14" x14ac:dyDescent="0.25">
      <c r="A404" t="s">
        <v>14</v>
      </c>
      <c r="B404" t="s">
        <v>15</v>
      </c>
      <c r="C404" t="s">
        <v>859</v>
      </c>
      <c r="D404" t="s">
        <v>860</v>
      </c>
      <c r="E404">
        <v>27.6</v>
      </c>
      <c r="F404">
        <v>27.8</v>
      </c>
      <c r="G404">
        <v>28.95</v>
      </c>
      <c r="H404">
        <v>27.35</v>
      </c>
      <c r="I404">
        <v>28.85</v>
      </c>
      <c r="J404">
        <v>4642500</v>
      </c>
      <c r="K404">
        <v>164000</v>
      </c>
      <c r="L404" t="s">
        <v>18</v>
      </c>
      <c r="M404">
        <v>49.8</v>
      </c>
      <c r="N404">
        <v>27.05</v>
      </c>
    </row>
    <row r="405" spans="1:14" x14ac:dyDescent="0.25">
      <c r="A405" t="s">
        <v>14</v>
      </c>
      <c r="B405" t="s">
        <v>15</v>
      </c>
      <c r="C405" t="s">
        <v>985</v>
      </c>
      <c r="D405" t="s">
        <v>986</v>
      </c>
      <c r="E405">
        <v>102.9</v>
      </c>
      <c r="F405">
        <v>98.15</v>
      </c>
      <c r="G405">
        <v>98.15</v>
      </c>
      <c r="H405">
        <v>98.15</v>
      </c>
      <c r="I405">
        <v>98.15</v>
      </c>
      <c r="J405">
        <v>98150</v>
      </c>
      <c r="K405">
        <v>1000</v>
      </c>
      <c r="L405" t="s">
        <v>18</v>
      </c>
      <c r="M405">
        <v>182.5</v>
      </c>
      <c r="N405">
        <v>98.15</v>
      </c>
    </row>
    <row r="406" spans="1:14" x14ac:dyDescent="0.25">
      <c r="A406" t="s">
        <v>14</v>
      </c>
      <c r="B406" t="s">
        <v>15</v>
      </c>
      <c r="C406" t="s">
        <v>861</v>
      </c>
      <c r="D406" t="s">
        <v>862</v>
      </c>
      <c r="E406">
        <v>18.95</v>
      </c>
      <c r="F406">
        <v>20</v>
      </c>
      <c r="G406">
        <v>20</v>
      </c>
      <c r="H406">
        <v>18.5</v>
      </c>
      <c r="I406">
        <v>19.25</v>
      </c>
      <c r="J406">
        <v>456400</v>
      </c>
      <c r="K406">
        <v>24000</v>
      </c>
      <c r="L406" t="s">
        <v>18</v>
      </c>
      <c r="M406">
        <v>33.75</v>
      </c>
      <c r="N406">
        <v>18.5</v>
      </c>
    </row>
    <row r="407" spans="1:14" x14ac:dyDescent="0.25">
      <c r="A407" t="s">
        <v>14</v>
      </c>
      <c r="B407" t="s">
        <v>33</v>
      </c>
      <c r="C407" t="s">
        <v>863</v>
      </c>
      <c r="D407" t="s">
        <v>864</v>
      </c>
      <c r="E407">
        <v>292.10000000000002</v>
      </c>
      <c r="F407">
        <v>281</v>
      </c>
      <c r="G407">
        <v>289</v>
      </c>
      <c r="H407">
        <v>279.10000000000002</v>
      </c>
      <c r="I407">
        <v>289</v>
      </c>
      <c r="J407">
        <v>2268100</v>
      </c>
      <c r="K407">
        <v>8000</v>
      </c>
      <c r="L407" t="s">
        <v>18</v>
      </c>
      <c r="M407">
        <v>390.6</v>
      </c>
      <c r="N407">
        <v>120</v>
      </c>
    </row>
    <row r="408" spans="1:14" x14ac:dyDescent="0.25">
      <c r="A408" t="s">
        <v>14</v>
      </c>
      <c r="B408" t="s">
        <v>15</v>
      </c>
      <c r="C408" t="s">
        <v>987</v>
      </c>
      <c r="D408" t="s">
        <v>988</v>
      </c>
      <c r="E408">
        <v>32</v>
      </c>
      <c r="F408">
        <v>30.05</v>
      </c>
      <c r="G408">
        <v>31.95</v>
      </c>
      <c r="H408">
        <v>30</v>
      </c>
      <c r="I408">
        <v>31.95</v>
      </c>
      <c r="J408">
        <v>342400</v>
      </c>
      <c r="K408">
        <v>11200</v>
      </c>
      <c r="L408" t="s">
        <v>18</v>
      </c>
      <c r="M408">
        <v>84.95</v>
      </c>
      <c r="N408">
        <v>30</v>
      </c>
    </row>
    <row r="409" spans="1:14" x14ac:dyDescent="0.25">
      <c r="A409" t="s">
        <v>14</v>
      </c>
      <c r="B409" t="s">
        <v>15</v>
      </c>
      <c r="C409" t="s">
        <v>865</v>
      </c>
      <c r="D409" t="s">
        <v>866</v>
      </c>
      <c r="E409">
        <v>49.55</v>
      </c>
      <c r="F409">
        <v>50</v>
      </c>
      <c r="G409">
        <v>52.5</v>
      </c>
      <c r="H409">
        <v>46.95</v>
      </c>
      <c r="I409">
        <v>52.5</v>
      </c>
      <c r="J409">
        <v>4167200</v>
      </c>
      <c r="K409">
        <v>86000</v>
      </c>
      <c r="L409" t="s">
        <v>18</v>
      </c>
      <c r="M409">
        <v>98</v>
      </c>
      <c r="N409">
        <v>46.95</v>
      </c>
    </row>
    <row r="410" spans="1:14" x14ac:dyDescent="0.25">
      <c r="A410" t="s">
        <v>14</v>
      </c>
      <c r="B410" t="s">
        <v>15</v>
      </c>
      <c r="C410" t="s">
        <v>869</v>
      </c>
      <c r="D410" t="s">
        <v>870</v>
      </c>
      <c r="E410">
        <v>138</v>
      </c>
      <c r="F410">
        <v>138</v>
      </c>
      <c r="G410">
        <v>138.5</v>
      </c>
      <c r="H410">
        <v>138</v>
      </c>
      <c r="I410">
        <v>138.5</v>
      </c>
      <c r="J410">
        <v>773240</v>
      </c>
      <c r="K410">
        <v>5600</v>
      </c>
      <c r="L410" t="s">
        <v>18</v>
      </c>
      <c r="M410">
        <v>590</v>
      </c>
      <c r="N410">
        <v>134.30000000000001</v>
      </c>
    </row>
    <row r="411" spans="1:14" x14ac:dyDescent="0.25">
      <c r="A411" t="s">
        <v>14</v>
      </c>
      <c r="B411" t="s">
        <v>15</v>
      </c>
      <c r="C411" t="s">
        <v>871</v>
      </c>
      <c r="D411" t="s">
        <v>872</v>
      </c>
      <c r="E411">
        <v>28.5</v>
      </c>
      <c r="F411">
        <v>27.55</v>
      </c>
      <c r="G411">
        <v>28.8</v>
      </c>
      <c r="H411">
        <v>27.55</v>
      </c>
      <c r="I411">
        <v>28.8</v>
      </c>
      <c r="J411">
        <v>665120</v>
      </c>
      <c r="K411">
        <v>24000</v>
      </c>
      <c r="L411" t="s">
        <v>18</v>
      </c>
      <c r="M411">
        <v>117.9</v>
      </c>
      <c r="N411">
        <v>26.75</v>
      </c>
    </row>
    <row r="412" spans="1:14" x14ac:dyDescent="0.25">
      <c r="A412" t="s">
        <v>14</v>
      </c>
      <c r="B412" t="s">
        <v>15</v>
      </c>
      <c r="C412" t="s">
        <v>875</v>
      </c>
      <c r="D412" t="s">
        <v>876</v>
      </c>
      <c r="E412">
        <v>221.35</v>
      </c>
      <c r="F412">
        <v>218</v>
      </c>
      <c r="G412">
        <v>220</v>
      </c>
      <c r="H412">
        <v>212.95</v>
      </c>
      <c r="I412">
        <v>215.1</v>
      </c>
      <c r="J412">
        <v>7269150</v>
      </c>
      <c r="K412">
        <v>33600</v>
      </c>
      <c r="L412" t="s">
        <v>18</v>
      </c>
      <c r="M412">
        <v>281</v>
      </c>
      <c r="N412">
        <v>145.05000000000001</v>
      </c>
    </row>
    <row r="413" spans="1:14" x14ac:dyDescent="0.25">
      <c r="A413" t="s">
        <v>14</v>
      </c>
      <c r="B413" t="s">
        <v>15</v>
      </c>
      <c r="C413" t="s">
        <v>877</v>
      </c>
      <c r="D413" t="s">
        <v>878</v>
      </c>
      <c r="E413">
        <v>539.85</v>
      </c>
      <c r="F413">
        <v>532.6</v>
      </c>
      <c r="G413">
        <v>585</v>
      </c>
      <c r="H413">
        <v>532.6</v>
      </c>
      <c r="I413">
        <v>582.25</v>
      </c>
      <c r="J413">
        <v>12412750</v>
      </c>
      <c r="K413">
        <v>22000</v>
      </c>
      <c r="L413" t="s">
        <v>18</v>
      </c>
      <c r="M413">
        <v>805</v>
      </c>
      <c r="N413">
        <v>200.3</v>
      </c>
    </row>
    <row r="414" spans="1:14" x14ac:dyDescent="0.25">
      <c r="A414" t="s">
        <v>14</v>
      </c>
      <c r="B414" t="s">
        <v>15</v>
      </c>
      <c r="C414" t="s">
        <v>881</v>
      </c>
      <c r="D414" t="s">
        <v>882</v>
      </c>
      <c r="E414">
        <v>27</v>
      </c>
      <c r="F414">
        <v>28.7</v>
      </c>
      <c r="G414">
        <v>30.55</v>
      </c>
      <c r="H414">
        <v>27.1</v>
      </c>
      <c r="I414">
        <v>27.5</v>
      </c>
      <c r="J414">
        <v>213300</v>
      </c>
      <c r="K414">
        <v>7500</v>
      </c>
      <c r="L414" t="s">
        <v>18</v>
      </c>
      <c r="M414">
        <v>63.45</v>
      </c>
      <c r="N414">
        <v>22.15</v>
      </c>
    </row>
    <row r="415" spans="1:14" x14ac:dyDescent="0.25">
      <c r="A415" t="s">
        <v>14</v>
      </c>
      <c r="B415" t="s">
        <v>33</v>
      </c>
      <c r="C415" t="s">
        <v>989</v>
      </c>
      <c r="D415" t="s">
        <v>990</v>
      </c>
      <c r="E415">
        <v>20.350000000000001</v>
      </c>
      <c r="F415">
        <v>21</v>
      </c>
      <c r="G415">
        <v>21.35</v>
      </c>
      <c r="H415">
        <v>21</v>
      </c>
      <c r="I415">
        <v>21.35</v>
      </c>
      <c r="J415">
        <v>191100</v>
      </c>
      <c r="K415">
        <v>9000</v>
      </c>
      <c r="L415" t="s">
        <v>18</v>
      </c>
      <c r="M415">
        <v>41.7</v>
      </c>
      <c r="N415">
        <v>16.05</v>
      </c>
    </row>
    <row r="416" spans="1:14" x14ac:dyDescent="0.25">
      <c r="A416" t="s">
        <v>14</v>
      </c>
      <c r="B416" t="s">
        <v>15</v>
      </c>
      <c r="C416" t="s">
        <v>883</v>
      </c>
      <c r="D416" t="s">
        <v>884</v>
      </c>
      <c r="E416">
        <v>233.8</v>
      </c>
      <c r="F416">
        <v>233</v>
      </c>
      <c r="G416">
        <v>233.8</v>
      </c>
      <c r="H416">
        <v>222</v>
      </c>
      <c r="I416">
        <v>226.5</v>
      </c>
      <c r="J416">
        <v>1821260</v>
      </c>
      <c r="K416">
        <v>8000</v>
      </c>
      <c r="L416" t="s">
        <v>18</v>
      </c>
      <c r="M416">
        <v>335</v>
      </c>
      <c r="N416">
        <v>81.099999999999994</v>
      </c>
    </row>
    <row r="417" spans="1:14" x14ac:dyDescent="0.25">
      <c r="A417" t="s">
        <v>14</v>
      </c>
      <c r="B417" t="s">
        <v>15</v>
      </c>
      <c r="C417" t="s">
        <v>885</v>
      </c>
      <c r="D417" t="s">
        <v>886</v>
      </c>
      <c r="E417">
        <v>608.35</v>
      </c>
      <c r="F417">
        <v>605</v>
      </c>
      <c r="G417">
        <v>610.95000000000005</v>
      </c>
      <c r="H417">
        <v>600</v>
      </c>
      <c r="I417">
        <v>602.29999999999995</v>
      </c>
      <c r="J417">
        <v>2114837.5</v>
      </c>
      <c r="K417">
        <v>3500</v>
      </c>
      <c r="L417" t="s">
        <v>18</v>
      </c>
      <c r="M417">
        <v>704</v>
      </c>
      <c r="N417">
        <v>533</v>
      </c>
    </row>
    <row r="418" spans="1:14" x14ac:dyDescent="0.25">
      <c r="A418" t="s">
        <v>14</v>
      </c>
      <c r="B418" t="s">
        <v>15</v>
      </c>
      <c r="C418" t="s">
        <v>991</v>
      </c>
      <c r="D418" t="s">
        <v>992</v>
      </c>
      <c r="E418">
        <v>154.30000000000001</v>
      </c>
      <c r="F418">
        <v>155.85</v>
      </c>
      <c r="G418">
        <v>160</v>
      </c>
      <c r="H418">
        <v>155.85</v>
      </c>
      <c r="I418">
        <v>160</v>
      </c>
      <c r="J418">
        <v>285510</v>
      </c>
      <c r="K418">
        <v>1800</v>
      </c>
      <c r="L418" t="s">
        <v>18</v>
      </c>
      <c r="M418">
        <v>260</v>
      </c>
      <c r="N418">
        <v>100.25</v>
      </c>
    </row>
    <row r="419" spans="1:14" x14ac:dyDescent="0.25">
      <c r="A419" t="s">
        <v>14</v>
      </c>
      <c r="B419" t="s">
        <v>15</v>
      </c>
      <c r="C419" t="s">
        <v>887</v>
      </c>
      <c r="D419" t="s">
        <v>888</v>
      </c>
      <c r="E419">
        <v>92.95</v>
      </c>
      <c r="F419">
        <v>88.35</v>
      </c>
      <c r="G419">
        <v>88.5</v>
      </c>
      <c r="H419">
        <v>88.35</v>
      </c>
      <c r="I419">
        <v>88.35</v>
      </c>
      <c r="J419">
        <v>176775</v>
      </c>
      <c r="K419">
        <v>2000</v>
      </c>
      <c r="L419" t="s">
        <v>18</v>
      </c>
      <c r="M419">
        <v>318</v>
      </c>
      <c r="N419">
        <v>88.35</v>
      </c>
    </row>
    <row r="420" spans="1:14" x14ac:dyDescent="0.25">
      <c r="A420" t="s">
        <v>14</v>
      </c>
      <c r="B420" t="s">
        <v>15</v>
      </c>
      <c r="C420" t="s">
        <v>889</v>
      </c>
      <c r="D420" t="s">
        <v>890</v>
      </c>
      <c r="E420">
        <v>48.5</v>
      </c>
      <c r="F420">
        <v>50.9</v>
      </c>
      <c r="G420">
        <v>50.9</v>
      </c>
      <c r="H420">
        <v>50.9</v>
      </c>
      <c r="I420">
        <v>50.9</v>
      </c>
      <c r="J420">
        <v>61080</v>
      </c>
      <c r="K420">
        <v>1200</v>
      </c>
      <c r="L420" t="s">
        <v>18</v>
      </c>
      <c r="M420">
        <v>95.9</v>
      </c>
      <c r="N420">
        <v>44</v>
      </c>
    </row>
    <row r="421" spans="1:14" x14ac:dyDescent="0.25">
      <c r="A421" t="s">
        <v>14</v>
      </c>
      <c r="B421" t="s">
        <v>15</v>
      </c>
      <c r="C421" t="s">
        <v>893</v>
      </c>
      <c r="D421" t="s">
        <v>894</v>
      </c>
      <c r="E421">
        <v>22.9</v>
      </c>
      <c r="F421">
        <v>22.9</v>
      </c>
      <c r="G421">
        <v>24</v>
      </c>
      <c r="H421">
        <v>22</v>
      </c>
      <c r="I421">
        <v>22.3</v>
      </c>
      <c r="J421">
        <v>8279850</v>
      </c>
      <c r="K421">
        <v>363000</v>
      </c>
      <c r="L421" t="s">
        <v>18</v>
      </c>
      <c r="M421">
        <v>34.450000000000003</v>
      </c>
      <c r="N421">
        <v>21.3</v>
      </c>
    </row>
    <row r="422" spans="1:14" x14ac:dyDescent="0.25">
      <c r="A422" t="s">
        <v>14</v>
      </c>
      <c r="B422" t="s">
        <v>15</v>
      </c>
      <c r="C422" t="s">
        <v>895</v>
      </c>
      <c r="D422" t="s">
        <v>896</v>
      </c>
      <c r="E422">
        <v>63.1</v>
      </c>
      <c r="F422">
        <v>63.1</v>
      </c>
      <c r="G422">
        <v>67</v>
      </c>
      <c r="H422">
        <v>57.5</v>
      </c>
      <c r="I422">
        <v>59.1</v>
      </c>
      <c r="J422">
        <v>986400</v>
      </c>
      <c r="K422">
        <v>16000</v>
      </c>
      <c r="L422" t="s">
        <v>18</v>
      </c>
      <c r="M422">
        <v>98</v>
      </c>
      <c r="N422">
        <v>57.5</v>
      </c>
    </row>
    <row r="423" spans="1:14" x14ac:dyDescent="0.25">
      <c r="A423" t="s">
        <v>14</v>
      </c>
      <c r="B423" t="s">
        <v>15</v>
      </c>
      <c r="C423" t="s">
        <v>897</v>
      </c>
      <c r="D423" t="s">
        <v>898</v>
      </c>
      <c r="E423">
        <v>41.5</v>
      </c>
      <c r="F423">
        <v>42.75</v>
      </c>
      <c r="G423">
        <v>47</v>
      </c>
      <c r="H423">
        <v>42.75</v>
      </c>
      <c r="I423">
        <v>45.5</v>
      </c>
      <c r="J423">
        <v>2181200</v>
      </c>
      <c r="K423">
        <v>48000</v>
      </c>
      <c r="L423" t="s">
        <v>18</v>
      </c>
      <c r="M423">
        <v>55.5</v>
      </c>
      <c r="N423">
        <v>35</v>
      </c>
    </row>
    <row r="424" spans="1:14" x14ac:dyDescent="0.25">
      <c r="A424" t="s">
        <v>14</v>
      </c>
      <c r="B424" t="s">
        <v>15</v>
      </c>
      <c r="C424" t="s">
        <v>899</v>
      </c>
      <c r="D424" t="s">
        <v>900</v>
      </c>
      <c r="E424">
        <v>335.65</v>
      </c>
      <c r="F424">
        <v>325</v>
      </c>
      <c r="G424">
        <v>334.45</v>
      </c>
      <c r="H424">
        <v>321</v>
      </c>
      <c r="I424">
        <v>324.64999999999998</v>
      </c>
      <c r="J424">
        <v>7286950</v>
      </c>
      <c r="K424">
        <v>22250</v>
      </c>
      <c r="L424" t="s">
        <v>18</v>
      </c>
      <c r="M424">
        <v>673.7</v>
      </c>
      <c r="N424">
        <v>291</v>
      </c>
    </row>
    <row r="425" spans="1:14" x14ac:dyDescent="0.25">
      <c r="A425" t="s">
        <v>14</v>
      </c>
      <c r="B425" t="s">
        <v>33</v>
      </c>
      <c r="C425" t="s">
        <v>901</v>
      </c>
      <c r="D425" t="s">
        <v>902</v>
      </c>
      <c r="E425">
        <v>33.35</v>
      </c>
      <c r="F425">
        <v>34.799999999999997</v>
      </c>
      <c r="G425">
        <v>35</v>
      </c>
      <c r="H425">
        <v>34.799999999999997</v>
      </c>
      <c r="I425">
        <v>35</v>
      </c>
      <c r="J425">
        <v>2798000</v>
      </c>
      <c r="K425">
        <v>80000</v>
      </c>
      <c r="L425" t="s">
        <v>18</v>
      </c>
      <c r="M425">
        <v>35</v>
      </c>
      <c r="N425">
        <v>16.5</v>
      </c>
    </row>
    <row r="426" spans="1:14" x14ac:dyDescent="0.25">
      <c r="A426" t="s">
        <v>14</v>
      </c>
      <c r="B426" t="s">
        <v>15</v>
      </c>
      <c r="C426" t="s">
        <v>903</v>
      </c>
      <c r="D426" t="s">
        <v>904</v>
      </c>
      <c r="E426">
        <v>371.25</v>
      </c>
      <c r="F426">
        <v>353</v>
      </c>
      <c r="G426">
        <v>372.55</v>
      </c>
      <c r="H426">
        <v>353</v>
      </c>
      <c r="I426">
        <v>372.55</v>
      </c>
      <c r="J426">
        <v>1542500</v>
      </c>
      <c r="K426">
        <v>4250</v>
      </c>
      <c r="L426" t="s">
        <v>18</v>
      </c>
      <c r="M426">
        <v>475</v>
      </c>
      <c r="N426">
        <v>300</v>
      </c>
    </row>
    <row r="427" spans="1:14" x14ac:dyDescent="0.25">
      <c r="A427" t="s">
        <v>14</v>
      </c>
      <c r="B427" t="s">
        <v>15</v>
      </c>
      <c r="C427" t="s">
        <v>905</v>
      </c>
      <c r="D427" t="s">
        <v>906</v>
      </c>
      <c r="E427">
        <v>1060.6500000000001</v>
      </c>
      <c r="F427">
        <v>1080</v>
      </c>
      <c r="G427">
        <v>1088</v>
      </c>
      <c r="H427">
        <v>1050</v>
      </c>
      <c r="I427">
        <v>1073.6500000000001</v>
      </c>
      <c r="J427">
        <v>7326990</v>
      </c>
      <c r="K427">
        <v>6900</v>
      </c>
      <c r="L427" t="s">
        <v>18</v>
      </c>
      <c r="M427">
        <v>1440</v>
      </c>
      <c r="N427">
        <v>575.79999999999995</v>
      </c>
    </row>
    <row r="428" spans="1:14" x14ac:dyDescent="0.25">
      <c r="A428" t="s">
        <v>14</v>
      </c>
      <c r="B428" t="s">
        <v>15</v>
      </c>
      <c r="C428" t="s">
        <v>907</v>
      </c>
      <c r="D428" t="s">
        <v>908</v>
      </c>
      <c r="E428">
        <v>142.15</v>
      </c>
      <c r="F428">
        <v>143</v>
      </c>
      <c r="G428">
        <v>144.85</v>
      </c>
      <c r="H428">
        <v>139.85</v>
      </c>
      <c r="I428">
        <v>140</v>
      </c>
      <c r="J428">
        <v>2691800</v>
      </c>
      <c r="K428">
        <v>19000</v>
      </c>
      <c r="L428" t="s">
        <v>18</v>
      </c>
      <c r="M428">
        <v>208</v>
      </c>
      <c r="N428">
        <v>122</v>
      </c>
    </row>
    <row r="429" spans="1:14" x14ac:dyDescent="0.25">
      <c r="A429" t="s">
        <v>14</v>
      </c>
      <c r="B429" t="s">
        <v>33</v>
      </c>
      <c r="C429" t="s">
        <v>909</v>
      </c>
      <c r="D429" t="s">
        <v>910</v>
      </c>
      <c r="E429">
        <v>133.55000000000001</v>
      </c>
      <c r="F429">
        <v>134.80000000000001</v>
      </c>
      <c r="G429">
        <v>134.80000000000001</v>
      </c>
      <c r="H429">
        <v>126.9</v>
      </c>
      <c r="I429">
        <v>126.9</v>
      </c>
      <c r="J429">
        <v>904500</v>
      </c>
      <c r="K429">
        <v>7000</v>
      </c>
      <c r="L429" t="s">
        <v>18</v>
      </c>
      <c r="M429">
        <v>145</v>
      </c>
      <c r="N429">
        <v>34</v>
      </c>
    </row>
    <row r="430" spans="1:14" x14ac:dyDescent="0.25">
      <c r="A430" t="s">
        <v>14</v>
      </c>
      <c r="B430" t="s">
        <v>15</v>
      </c>
      <c r="C430" t="s">
        <v>911</v>
      </c>
      <c r="D430" t="s">
        <v>912</v>
      </c>
      <c r="E430">
        <v>203</v>
      </c>
      <c r="F430">
        <v>203</v>
      </c>
      <c r="G430">
        <v>218.9</v>
      </c>
      <c r="H430">
        <v>192.15</v>
      </c>
      <c r="I430">
        <v>215.3</v>
      </c>
      <c r="J430">
        <v>9992450</v>
      </c>
      <c r="K430">
        <v>48000</v>
      </c>
      <c r="L430" t="s">
        <v>18</v>
      </c>
      <c r="M430">
        <v>279.95</v>
      </c>
      <c r="N430">
        <v>145</v>
      </c>
    </row>
    <row r="431" spans="1:14" x14ac:dyDescent="0.25">
      <c r="A431" t="s">
        <v>14</v>
      </c>
      <c r="B431" t="s">
        <v>33</v>
      </c>
      <c r="C431" t="s">
        <v>915</v>
      </c>
      <c r="D431" t="s">
        <v>916</v>
      </c>
      <c r="E431">
        <v>223.65</v>
      </c>
      <c r="F431">
        <v>221</v>
      </c>
      <c r="G431">
        <v>224.45</v>
      </c>
      <c r="H431">
        <v>216</v>
      </c>
      <c r="I431">
        <v>219.05</v>
      </c>
      <c r="J431">
        <v>4228160</v>
      </c>
      <c r="K431">
        <v>19200</v>
      </c>
      <c r="L431" t="s">
        <v>18</v>
      </c>
      <c r="M431">
        <v>307.89999999999998</v>
      </c>
      <c r="N431">
        <v>111.95</v>
      </c>
    </row>
    <row r="432" spans="1:14" x14ac:dyDescent="0.25">
      <c r="A432" t="s">
        <v>14</v>
      </c>
      <c r="B432" t="s">
        <v>15</v>
      </c>
      <c r="C432" t="s">
        <v>919</v>
      </c>
      <c r="D432" t="s">
        <v>920</v>
      </c>
      <c r="E432">
        <v>640.65</v>
      </c>
      <c r="F432">
        <v>653.85</v>
      </c>
      <c r="G432">
        <v>660</v>
      </c>
      <c r="H432">
        <v>645</v>
      </c>
      <c r="I432">
        <v>651.45000000000005</v>
      </c>
      <c r="J432">
        <v>11217730</v>
      </c>
      <c r="K432">
        <v>17200</v>
      </c>
      <c r="L432" t="s">
        <v>18</v>
      </c>
      <c r="M432">
        <v>1860</v>
      </c>
      <c r="N432">
        <v>565</v>
      </c>
    </row>
    <row r="433" spans="1:14" x14ac:dyDescent="0.25">
      <c r="A433" t="s">
        <v>14</v>
      </c>
      <c r="B433" t="s">
        <v>15</v>
      </c>
      <c r="C433" t="s">
        <v>921</v>
      </c>
      <c r="D433" t="s">
        <v>922</v>
      </c>
      <c r="E433">
        <v>239</v>
      </c>
      <c r="F433">
        <v>228</v>
      </c>
      <c r="G433">
        <v>248.6</v>
      </c>
      <c r="H433">
        <v>227.05</v>
      </c>
      <c r="I433">
        <v>240.5</v>
      </c>
      <c r="J433">
        <v>39890960</v>
      </c>
      <c r="K433">
        <v>168800</v>
      </c>
      <c r="L433" t="s">
        <v>18</v>
      </c>
      <c r="M433">
        <v>255</v>
      </c>
      <c r="N433">
        <v>77.400000000000006</v>
      </c>
    </row>
    <row r="434" spans="1:14" x14ac:dyDescent="0.25">
      <c r="A434" t="s">
        <v>14</v>
      </c>
      <c r="B434" t="s">
        <v>15</v>
      </c>
      <c r="C434" t="s">
        <v>925</v>
      </c>
      <c r="D434" t="s">
        <v>926</v>
      </c>
      <c r="E434">
        <v>134.5</v>
      </c>
      <c r="F434">
        <v>133.5</v>
      </c>
      <c r="G434">
        <v>134</v>
      </c>
      <c r="H434">
        <v>130.19999999999999</v>
      </c>
      <c r="I434">
        <v>131.5</v>
      </c>
      <c r="J434">
        <v>582720</v>
      </c>
      <c r="K434">
        <v>4400</v>
      </c>
      <c r="L434" t="s">
        <v>18</v>
      </c>
      <c r="M434">
        <v>272</v>
      </c>
      <c r="N434">
        <v>127.6</v>
      </c>
    </row>
    <row r="435" spans="1:14" x14ac:dyDescent="0.25">
      <c r="A435" t="s">
        <v>14</v>
      </c>
      <c r="B435" t="s">
        <v>15</v>
      </c>
      <c r="C435" t="s">
        <v>927</v>
      </c>
      <c r="D435" t="s">
        <v>928</v>
      </c>
      <c r="E435">
        <v>124.5</v>
      </c>
      <c r="F435">
        <v>116.7</v>
      </c>
      <c r="G435">
        <v>123.95</v>
      </c>
      <c r="H435">
        <v>116.05</v>
      </c>
      <c r="I435">
        <v>123.95</v>
      </c>
      <c r="J435">
        <v>1150625</v>
      </c>
      <c r="K435">
        <v>9500</v>
      </c>
      <c r="L435" t="s">
        <v>18</v>
      </c>
      <c r="M435">
        <v>204</v>
      </c>
      <c r="N435">
        <v>113</v>
      </c>
    </row>
    <row r="436" spans="1:14" x14ac:dyDescent="0.25">
      <c r="A436" t="s">
        <v>14</v>
      </c>
      <c r="B436" t="s">
        <v>33</v>
      </c>
      <c r="C436" t="s">
        <v>929</v>
      </c>
      <c r="D436" t="s">
        <v>930</v>
      </c>
      <c r="E436">
        <v>113</v>
      </c>
      <c r="F436">
        <v>113</v>
      </c>
      <c r="G436">
        <v>113</v>
      </c>
      <c r="H436">
        <v>113</v>
      </c>
      <c r="I436">
        <v>113</v>
      </c>
      <c r="J436">
        <v>113000</v>
      </c>
      <c r="K436">
        <v>1000</v>
      </c>
      <c r="L436" t="s">
        <v>18</v>
      </c>
      <c r="M436">
        <v>209.95</v>
      </c>
      <c r="N436">
        <v>97</v>
      </c>
    </row>
    <row r="437" spans="1:14" x14ac:dyDescent="0.25">
      <c r="A437" t="s">
        <v>14</v>
      </c>
      <c r="B437" t="s">
        <v>15</v>
      </c>
      <c r="C437" t="s">
        <v>931</v>
      </c>
      <c r="D437" t="s">
        <v>932</v>
      </c>
      <c r="E437">
        <v>212.25</v>
      </c>
      <c r="F437">
        <v>213.25</v>
      </c>
      <c r="G437">
        <v>218.35</v>
      </c>
      <c r="H437">
        <v>193.85</v>
      </c>
      <c r="I437">
        <v>197.45</v>
      </c>
      <c r="J437">
        <v>7012060</v>
      </c>
      <c r="K437">
        <v>34400</v>
      </c>
      <c r="L437" t="s">
        <v>18</v>
      </c>
      <c r="M437">
        <v>380.1</v>
      </c>
      <c r="N437">
        <v>193.85</v>
      </c>
    </row>
    <row r="438" spans="1:14" x14ac:dyDescent="0.25">
      <c r="A438" t="s">
        <v>14</v>
      </c>
      <c r="B438" t="s">
        <v>15</v>
      </c>
      <c r="C438" t="s">
        <v>933</v>
      </c>
      <c r="D438" t="s">
        <v>934</v>
      </c>
      <c r="E438">
        <v>118</v>
      </c>
      <c r="F438">
        <v>120</v>
      </c>
      <c r="G438">
        <v>120</v>
      </c>
      <c r="H438">
        <v>116.55</v>
      </c>
      <c r="I438">
        <v>118</v>
      </c>
      <c r="J438">
        <v>474040</v>
      </c>
      <c r="K438">
        <v>4000</v>
      </c>
      <c r="L438" t="s">
        <v>18</v>
      </c>
      <c r="M438">
        <v>153.5</v>
      </c>
      <c r="N438">
        <v>72.599999999999994</v>
      </c>
    </row>
    <row r="439" spans="1:14" x14ac:dyDescent="0.25">
      <c r="A439" t="s">
        <v>14</v>
      </c>
      <c r="B439" t="s">
        <v>15</v>
      </c>
      <c r="C439" t="s">
        <v>993</v>
      </c>
      <c r="D439" t="s">
        <v>994</v>
      </c>
      <c r="E439">
        <v>11.2</v>
      </c>
      <c r="F439">
        <v>11.1</v>
      </c>
      <c r="G439">
        <v>11.15</v>
      </c>
      <c r="H439">
        <v>11.05</v>
      </c>
      <c r="I439">
        <v>11.15</v>
      </c>
      <c r="J439">
        <v>166500</v>
      </c>
      <c r="K439">
        <v>15000</v>
      </c>
      <c r="L439" t="s">
        <v>18</v>
      </c>
      <c r="M439">
        <v>18.399999999999999</v>
      </c>
      <c r="N439">
        <v>10.55</v>
      </c>
    </row>
    <row r="440" spans="1:14" x14ac:dyDescent="0.25">
      <c r="A440" t="s">
        <v>14</v>
      </c>
      <c r="B440" t="s">
        <v>15</v>
      </c>
      <c r="C440" t="s">
        <v>995</v>
      </c>
      <c r="D440" t="s">
        <v>996</v>
      </c>
      <c r="E440">
        <v>26</v>
      </c>
      <c r="F440">
        <v>27.3</v>
      </c>
      <c r="G440">
        <v>27.3</v>
      </c>
      <c r="H440">
        <v>27.25</v>
      </c>
      <c r="I440">
        <v>27.3</v>
      </c>
      <c r="J440">
        <v>218360</v>
      </c>
      <c r="K440">
        <v>8000</v>
      </c>
      <c r="L440" t="s">
        <v>18</v>
      </c>
      <c r="M440">
        <v>58.1</v>
      </c>
      <c r="N440">
        <v>24.65</v>
      </c>
    </row>
    <row r="441" spans="1:14" x14ac:dyDescent="0.25">
      <c r="A441" t="s">
        <v>14</v>
      </c>
      <c r="B441" t="s">
        <v>15</v>
      </c>
      <c r="C441" t="s">
        <v>935</v>
      </c>
      <c r="D441" t="s">
        <v>936</v>
      </c>
      <c r="E441">
        <v>560.5</v>
      </c>
      <c r="F441">
        <v>560</v>
      </c>
      <c r="G441">
        <v>567</v>
      </c>
      <c r="H441">
        <v>556.5</v>
      </c>
      <c r="I441">
        <v>557.9</v>
      </c>
      <c r="J441">
        <v>3870360</v>
      </c>
      <c r="K441">
        <v>6900</v>
      </c>
      <c r="L441" t="s">
        <v>18</v>
      </c>
      <c r="M441">
        <v>701</v>
      </c>
      <c r="N441">
        <v>460</v>
      </c>
    </row>
    <row r="442" spans="1:14" x14ac:dyDescent="0.25">
      <c r="A442" t="s">
        <v>14</v>
      </c>
      <c r="B442" t="s">
        <v>15</v>
      </c>
      <c r="C442" t="s">
        <v>937</v>
      </c>
      <c r="D442" t="s">
        <v>938</v>
      </c>
      <c r="E442">
        <v>72.650000000000006</v>
      </c>
      <c r="F442">
        <v>73</v>
      </c>
      <c r="G442">
        <v>73</v>
      </c>
      <c r="H442">
        <v>72</v>
      </c>
      <c r="I442">
        <v>72</v>
      </c>
      <c r="J442">
        <v>173430</v>
      </c>
      <c r="K442">
        <v>2400</v>
      </c>
      <c r="L442" t="s">
        <v>18</v>
      </c>
      <c r="M442">
        <v>165.8</v>
      </c>
      <c r="N442">
        <v>72</v>
      </c>
    </row>
    <row r="443" spans="1:14" x14ac:dyDescent="0.25">
      <c r="A443" t="s">
        <v>14</v>
      </c>
      <c r="B443" t="s">
        <v>15</v>
      </c>
      <c r="C443" t="s">
        <v>939</v>
      </c>
      <c r="D443" t="s">
        <v>940</v>
      </c>
      <c r="E443">
        <v>47</v>
      </c>
      <c r="F443">
        <v>45.15</v>
      </c>
      <c r="G443">
        <v>56.35</v>
      </c>
      <c r="H443">
        <v>45.15</v>
      </c>
      <c r="I443">
        <v>54.8</v>
      </c>
      <c r="J443">
        <v>956600</v>
      </c>
      <c r="K443">
        <v>18400</v>
      </c>
      <c r="L443" t="s">
        <v>18</v>
      </c>
      <c r="M443">
        <v>107</v>
      </c>
      <c r="N443">
        <v>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3"/>
  <sheetViews>
    <sheetView tabSelected="1" zoomScale="69" workbookViewId="0">
      <selection activeCell="O21" sqref="O21"/>
    </sheetView>
  </sheetViews>
  <sheetFormatPr defaultRowHeight="15" x14ac:dyDescent="0.25"/>
  <sheetData>
    <row r="1" spans="1:10" ht="23.25" x14ac:dyDescent="0.35">
      <c r="B1" s="1" t="s">
        <v>997</v>
      </c>
      <c r="C1" s="1"/>
      <c r="D1" s="1"/>
      <c r="E1" s="1"/>
      <c r="F1" s="1"/>
      <c r="G1" s="1"/>
      <c r="H1" s="1"/>
      <c r="I1" s="1"/>
    </row>
    <row r="2" spans="1:10" ht="15.75" thickBot="1" x14ac:dyDescent="0.3"/>
    <row r="3" spans="1:10" x14ac:dyDescent="0.25">
      <c r="A3" s="2" t="s">
        <v>998</v>
      </c>
      <c r="B3" s="3" t="s">
        <v>999</v>
      </c>
      <c r="C3" s="3" t="s">
        <v>1000</v>
      </c>
      <c r="D3" s="4" t="s">
        <v>1001</v>
      </c>
      <c r="E3" s="5"/>
      <c r="F3" s="6" t="s">
        <v>998</v>
      </c>
      <c r="G3" s="7" t="s">
        <v>999</v>
      </c>
      <c r="H3" s="7" t="s">
        <v>1000</v>
      </c>
      <c r="I3" s="8" t="s">
        <v>1001</v>
      </c>
      <c r="J3" s="9" t="s">
        <v>1002</v>
      </c>
    </row>
    <row r="4" spans="1:10" x14ac:dyDescent="0.25">
      <c r="A4" s="10" t="s">
        <v>176</v>
      </c>
      <c r="B4" s="11" t="s">
        <v>177</v>
      </c>
      <c r="C4" s="11">
        <v>738750</v>
      </c>
      <c r="D4" s="12">
        <v>58.05</v>
      </c>
      <c r="E4" s="13"/>
      <c r="F4" s="14" t="s">
        <v>176</v>
      </c>
      <c r="G4" s="15" t="s">
        <v>177</v>
      </c>
      <c r="H4" s="15">
        <v>1635000</v>
      </c>
      <c r="I4" s="16">
        <v>48</v>
      </c>
      <c r="J4" s="17">
        <f>AVERAGE(I4-D4)</f>
        <v>-10.049999999999997</v>
      </c>
    </row>
    <row r="5" spans="1:10" x14ac:dyDescent="0.25">
      <c r="A5" s="10" t="s">
        <v>231</v>
      </c>
      <c r="B5" s="11" t="s">
        <v>232</v>
      </c>
      <c r="C5" s="11">
        <v>59200</v>
      </c>
      <c r="D5" s="12">
        <v>220.73</v>
      </c>
      <c r="E5" s="13"/>
      <c r="F5" s="14" t="s">
        <v>231</v>
      </c>
      <c r="G5" s="15" t="s">
        <v>232</v>
      </c>
      <c r="H5" s="15">
        <v>56000</v>
      </c>
      <c r="I5" s="16">
        <v>211.17000000000002</v>
      </c>
      <c r="J5" s="17">
        <f t="shared" ref="J5:J19" si="0">I5-D5</f>
        <v>-9.5599999999999739</v>
      </c>
    </row>
    <row r="6" spans="1:10" x14ac:dyDescent="0.25">
      <c r="A6" s="10" t="s">
        <v>255</v>
      </c>
      <c r="B6" s="11" t="s">
        <v>256</v>
      </c>
      <c r="C6" s="11">
        <v>217000</v>
      </c>
      <c r="D6" s="12">
        <v>94.57</v>
      </c>
      <c r="E6" s="13"/>
      <c r="F6" s="14" t="s">
        <v>255</v>
      </c>
      <c r="G6" s="15" t="s">
        <v>256</v>
      </c>
      <c r="H6" s="15">
        <v>50000</v>
      </c>
      <c r="I6" s="16">
        <v>88.27</v>
      </c>
      <c r="J6" s="17">
        <f t="shared" si="0"/>
        <v>-6.2999999999999972</v>
      </c>
    </row>
    <row r="7" spans="1:10" x14ac:dyDescent="0.25">
      <c r="A7" s="10" t="s">
        <v>531</v>
      </c>
      <c r="B7" s="11" t="s">
        <v>532</v>
      </c>
      <c r="C7" s="11">
        <v>72000</v>
      </c>
      <c r="D7" s="12">
        <v>314.12</v>
      </c>
      <c r="E7" s="13"/>
      <c r="F7" s="14" t="s">
        <v>531</v>
      </c>
      <c r="G7" s="15" t="s">
        <v>532</v>
      </c>
      <c r="H7" s="15">
        <v>50400</v>
      </c>
      <c r="I7" s="16">
        <v>308.5</v>
      </c>
      <c r="J7" s="17">
        <f t="shared" si="0"/>
        <v>-5.6200000000000045</v>
      </c>
    </row>
    <row r="8" spans="1:10" x14ac:dyDescent="0.25">
      <c r="A8" s="10" t="s">
        <v>108</v>
      </c>
      <c r="B8" s="11" t="s">
        <v>109</v>
      </c>
      <c r="C8" s="11">
        <v>180000</v>
      </c>
      <c r="D8" s="12">
        <v>71.94</v>
      </c>
      <c r="E8" s="13"/>
      <c r="F8" s="14" t="s">
        <v>108</v>
      </c>
      <c r="G8" s="15" t="s">
        <v>109</v>
      </c>
      <c r="H8" s="15">
        <v>68000</v>
      </c>
      <c r="I8" s="16">
        <v>69.09</v>
      </c>
      <c r="J8" s="17">
        <f t="shared" si="0"/>
        <v>-2.8499999999999943</v>
      </c>
    </row>
    <row r="9" spans="1:10" x14ac:dyDescent="0.25">
      <c r="A9" s="10" t="s">
        <v>411</v>
      </c>
      <c r="B9" s="11" t="s">
        <v>412</v>
      </c>
      <c r="C9" s="11">
        <v>680000</v>
      </c>
      <c r="D9" s="12">
        <v>21.46</v>
      </c>
      <c r="E9" s="13"/>
      <c r="F9" s="14" t="s">
        <v>411</v>
      </c>
      <c r="G9" s="15" t="s">
        <v>412</v>
      </c>
      <c r="H9" s="15">
        <v>340000</v>
      </c>
      <c r="I9" s="16">
        <v>19.380000000000003</v>
      </c>
      <c r="J9" s="17">
        <f t="shared" si="0"/>
        <v>-2.0799999999999983</v>
      </c>
    </row>
    <row r="10" spans="1:10" x14ac:dyDescent="0.25">
      <c r="A10" s="10" t="s">
        <v>865</v>
      </c>
      <c r="B10" s="11" t="s">
        <v>866</v>
      </c>
      <c r="C10" s="11">
        <v>88000</v>
      </c>
      <c r="D10" s="12">
        <v>51.95</v>
      </c>
      <c r="E10" s="13"/>
      <c r="F10" s="14" t="s">
        <v>865</v>
      </c>
      <c r="G10" s="15" t="s">
        <v>866</v>
      </c>
      <c r="H10" s="15">
        <v>86000</v>
      </c>
      <c r="I10" s="16">
        <v>50.3</v>
      </c>
      <c r="J10" s="17">
        <f t="shared" si="0"/>
        <v>-1.6500000000000057</v>
      </c>
    </row>
    <row r="11" spans="1:10" x14ac:dyDescent="0.25">
      <c r="A11" s="10" t="s">
        <v>443</v>
      </c>
      <c r="B11" s="11" t="s">
        <v>444</v>
      </c>
      <c r="C11" s="11">
        <v>288000</v>
      </c>
      <c r="D11" s="12">
        <v>135.74</v>
      </c>
      <c r="E11" s="13"/>
      <c r="F11" s="14" t="s">
        <v>443</v>
      </c>
      <c r="G11" s="15" t="s">
        <v>444</v>
      </c>
      <c r="H11" s="15">
        <v>73000</v>
      </c>
      <c r="I11" s="16">
        <v>134.76</v>
      </c>
      <c r="J11" s="17">
        <f t="shared" si="0"/>
        <v>-0.98000000000001819</v>
      </c>
    </row>
    <row r="12" spans="1:10" x14ac:dyDescent="0.25">
      <c r="A12" s="10" t="s">
        <v>859</v>
      </c>
      <c r="B12" s="11" t="s">
        <v>860</v>
      </c>
      <c r="C12" s="11">
        <v>562000</v>
      </c>
      <c r="D12" s="12">
        <v>29.01</v>
      </c>
      <c r="E12" s="13"/>
      <c r="F12" s="14" t="s">
        <v>859</v>
      </c>
      <c r="G12" s="15" t="s">
        <v>860</v>
      </c>
      <c r="H12" s="15">
        <v>164000</v>
      </c>
      <c r="I12" s="16">
        <v>28.110000000000003</v>
      </c>
      <c r="J12" s="17">
        <f t="shared" si="0"/>
        <v>-0.89999999999999858</v>
      </c>
    </row>
    <row r="13" spans="1:10" x14ac:dyDescent="0.25">
      <c r="A13" s="10" t="s">
        <v>471</v>
      </c>
      <c r="B13" s="11" t="s">
        <v>472</v>
      </c>
      <c r="C13" s="11">
        <v>51600</v>
      </c>
      <c r="D13" s="12">
        <v>84.22</v>
      </c>
      <c r="E13" s="13"/>
      <c r="F13" s="14" t="s">
        <v>471</v>
      </c>
      <c r="G13" s="15" t="s">
        <v>472</v>
      </c>
      <c r="H13" s="15">
        <v>57600</v>
      </c>
      <c r="I13" s="16">
        <v>83.39</v>
      </c>
      <c r="J13" s="17">
        <f t="shared" si="0"/>
        <v>-0.82999999999999829</v>
      </c>
    </row>
    <row r="14" spans="1:10" x14ac:dyDescent="0.25">
      <c r="A14" s="10" t="s">
        <v>509</v>
      </c>
      <c r="B14" s="11" t="s">
        <v>510</v>
      </c>
      <c r="C14" s="11">
        <v>133600</v>
      </c>
      <c r="D14" s="12">
        <v>172.25</v>
      </c>
      <c r="E14" s="13"/>
      <c r="F14" s="14" t="s">
        <v>509</v>
      </c>
      <c r="G14" s="15" t="s">
        <v>510</v>
      </c>
      <c r="H14" s="15">
        <v>142400</v>
      </c>
      <c r="I14" s="16">
        <v>171.65</v>
      </c>
      <c r="J14" s="17">
        <f t="shared" si="0"/>
        <v>-0.59999999999999432</v>
      </c>
    </row>
    <row r="15" spans="1:10" x14ac:dyDescent="0.25">
      <c r="A15" s="10" t="s">
        <v>307</v>
      </c>
      <c r="B15" s="11" t="s">
        <v>308</v>
      </c>
      <c r="C15" s="11">
        <v>147000</v>
      </c>
      <c r="D15" s="12">
        <v>44.49</v>
      </c>
      <c r="E15" s="13"/>
      <c r="F15" s="14" t="s">
        <v>307</v>
      </c>
      <c r="G15" s="15" t="s">
        <v>308</v>
      </c>
      <c r="H15" s="15">
        <v>159000</v>
      </c>
      <c r="I15" s="16">
        <v>43.92</v>
      </c>
      <c r="J15" s="17">
        <f t="shared" si="0"/>
        <v>-0.57000000000000028</v>
      </c>
    </row>
    <row r="16" spans="1:10" x14ac:dyDescent="0.25">
      <c r="A16" s="10" t="s">
        <v>74</v>
      </c>
      <c r="B16" s="11" t="s">
        <v>75</v>
      </c>
      <c r="C16" s="11">
        <v>130000</v>
      </c>
      <c r="D16" s="12">
        <v>21.24</v>
      </c>
      <c r="E16" s="13"/>
      <c r="F16" s="14" t="s">
        <v>74</v>
      </c>
      <c r="G16" s="15" t="s">
        <v>75</v>
      </c>
      <c r="H16" s="15">
        <v>165000</v>
      </c>
      <c r="I16" s="16">
        <v>20.68</v>
      </c>
      <c r="J16" s="17">
        <f t="shared" si="0"/>
        <v>-0.55999999999999872</v>
      </c>
    </row>
    <row r="17" spans="1:10" x14ac:dyDescent="0.25">
      <c r="A17" s="10" t="s">
        <v>253</v>
      </c>
      <c r="B17" s="11" t="s">
        <v>254</v>
      </c>
      <c r="C17" s="11">
        <v>210000</v>
      </c>
      <c r="D17" s="12">
        <v>13.16</v>
      </c>
      <c r="E17" s="13"/>
      <c r="F17" s="14" t="s">
        <v>253</v>
      </c>
      <c r="G17" s="15" t="s">
        <v>254</v>
      </c>
      <c r="H17" s="15">
        <v>50000</v>
      </c>
      <c r="I17" s="16">
        <v>12.77</v>
      </c>
      <c r="J17" s="17">
        <f t="shared" si="0"/>
        <v>-0.39000000000000057</v>
      </c>
    </row>
    <row r="18" spans="1:10" x14ac:dyDescent="0.25">
      <c r="A18" s="10" t="s">
        <v>319</v>
      </c>
      <c r="B18" s="11" t="s">
        <v>320</v>
      </c>
      <c r="C18" s="11">
        <v>85200</v>
      </c>
      <c r="D18" s="12">
        <v>47.69</v>
      </c>
      <c r="E18" s="13"/>
      <c r="F18" s="14" t="s">
        <v>319</v>
      </c>
      <c r="G18" s="15" t="s">
        <v>320</v>
      </c>
      <c r="H18" s="15">
        <v>103200</v>
      </c>
      <c r="I18" s="16">
        <v>47.4</v>
      </c>
      <c r="J18" s="17">
        <f t="shared" si="0"/>
        <v>-0.28999999999999915</v>
      </c>
    </row>
    <row r="19" spans="1:10" x14ac:dyDescent="0.25">
      <c r="A19" s="10" t="s">
        <v>693</v>
      </c>
      <c r="B19" s="11" t="s">
        <v>694</v>
      </c>
      <c r="C19" s="11">
        <v>152000</v>
      </c>
      <c r="D19" s="12">
        <v>249.14</v>
      </c>
      <c r="E19" s="13"/>
      <c r="F19" s="14" t="s">
        <v>693</v>
      </c>
      <c r="G19" s="15" t="s">
        <v>694</v>
      </c>
      <c r="H19" s="15">
        <v>125600</v>
      </c>
      <c r="I19" s="16">
        <v>249.08</v>
      </c>
      <c r="J19" s="17">
        <f t="shared" si="0"/>
        <v>-5.9999999999973852E-2</v>
      </c>
    </row>
    <row r="20" spans="1:10" x14ac:dyDescent="0.25">
      <c r="A20" s="10" t="s">
        <v>371</v>
      </c>
      <c r="B20" s="11" t="s">
        <v>372</v>
      </c>
      <c r="C20" s="11">
        <v>192000</v>
      </c>
      <c r="D20" s="12">
        <v>0.68</v>
      </c>
      <c r="E20" s="13"/>
      <c r="F20" s="14" t="s">
        <v>371</v>
      </c>
      <c r="G20" s="15" t="s">
        <v>372</v>
      </c>
      <c r="H20" s="15">
        <v>48000</v>
      </c>
      <c r="I20" s="16">
        <v>0.65</v>
      </c>
      <c r="J20" s="17">
        <f>AVERAGE(I20-D20)</f>
        <v>-3.0000000000000027E-2</v>
      </c>
    </row>
    <row r="21" spans="1:10" x14ac:dyDescent="0.25">
      <c r="A21" s="10" t="s">
        <v>893</v>
      </c>
      <c r="B21" s="11" t="s">
        <v>894</v>
      </c>
      <c r="C21" s="11">
        <v>603000</v>
      </c>
      <c r="D21" s="12">
        <v>22.07</v>
      </c>
      <c r="E21" s="13"/>
      <c r="F21" s="14" t="s">
        <v>893</v>
      </c>
      <c r="G21" s="15" t="s">
        <v>894</v>
      </c>
      <c r="H21" s="15">
        <v>363000</v>
      </c>
      <c r="I21" s="16">
        <v>22.82</v>
      </c>
      <c r="J21" s="17">
        <f t="shared" ref="J21:J30" si="1">I21-D21</f>
        <v>0.75</v>
      </c>
    </row>
    <row r="22" spans="1:10" x14ac:dyDescent="0.25">
      <c r="A22" s="10" t="s">
        <v>901</v>
      </c>
      <c r="B22" s="11" t="s">
        <v>902</v>
      </c>
      <c r="C22" s="11">
        <v>116000</v>
      </c>
      <c r="D22" s="12">
        <v>32.729999999999997</v>
      </c>
      <c r="E22" s="13"/>
      <c r="F22" s="14" t="s">
        <v>901</v>
      </c>
      <c r="G22" s="15" t="s">
        <v>902</v>
      </c>
      <c r="H22" s="15">
        <v>80000</v>
      </c>
      <c r="I22" s="16">
        <v>34.589999999999996</v>
      </c>
      <c r="J22" s="17">
        <f t="shared" si="1"/>
        <v>1.8599999999999994</v>
      </c>
    </row>
    <row r="23" spans="1:10" x14ac:dyDescent="0.25">
      <c r="A23" s="10" t="s">
        <v>847</v>
      </c>
      <c r="B23" s="11" t="s">
        <v>848</v>
      </c>
      <c r="C23" s="11">
        <v>200000</v>
      </c>
      <c r="D23" s="12">
        <v>144.66999999999999</v>
      </c>
      <c r="E23" s="13"/>
      <c r="F23" s="14" t="s">
        <v>847</v>
      </c>
      <c r="G23" s="15" t="s">
        <v>848</v>
      </c>
      <c r="H23" s="15">
        <v>100000</v>
      </c>
      <c r="I23" s="16">
        <v>146.65</v>
      </c>
      <c r="J23" s="17">
        <f t="shared" si="1"/>
        <v>1.9800000000000182</v>
      </c>
    </row>
    <row r="24" spans="1:10" x14ac:dyDescent="0.25">
      <c r="A24" s="10" t="s">
        <v>637</v>
      </c>
      <c r="B24" s="11" t="s">
        <v>638</v>
      </c>
      <c r="C24" s="11">
        <v>66000</v>
      </c>
      <c r="D24" s="12">
        <v>21.3</v>
      </c>
      <c r="E24" s="13"/>
      <c r="F24" s="14" t="s">
        <v>637</v>
      </c>
      <c r="G24" s="15" t="s">
        <v>638</v>
      </c>
      <c r="H24" s="15">
        <v>69000</v>
      </c>
      <c r="I24" s="16">
        <v>24.479999999999997</v>
      </c>
      <c r="J24" s="17">
        <f t="shared" si="1"/>
        <v>3.1799999999999962</v>
      </c>
    </row>
    <row r="25" spans="1:10" x14ac:dyDescent="0.25">
      <c r="A25" s="10" t="s">
        <v>96</v>
      </c>
      <c r="B25" s="11" t="s">
        <v>97</v>
      </c>
      <c r="C25" s="11">
        <v>106000</v>
      </c>
      <c r="D25" s="12">
        <v>136.31</v>
      </c>
      <c r="E25" s="13"/>
      <c r="F25" s="14" t="s">
        <v>96</v>
      </c>
      <c r="G25" s="15" t="s">
        <v>97</v>
      </c>
      <c r="H25" s="15">
        <v>162000</v>
      </c>
      <c r="I25" s="16">
        <v>139.56</v>
      </c>
      <c r="J25" s="17">
        <f t="shared" si="1"/>
        <v>3.25</v>
      </c>
    </row>
    <row r="26" spans="1:10" x14ac:dyDescent="0.25">
      <c r="A26" s="10" t="s">
        <v>543</v>
      </c>
      <c r="B26" s="11" t="s">
        <v>544</v>
      </c>
      <c r="C26" s="11">
        <v>60675</v>
      </c>
      <c r="D26" s="12">
        <v>1555.21</v>
      </c>
      <c r="E26" s="13"/>
      <c r="F26" s="14" t="s">
        <v>543</v>
      </c>
      <c r="G26" s="15" t="s">
        <v>544</v>
      </c>
      <c r="H26" s="15">
        <v>51750</v>
      </c>
      <c r="I26" s="16">
        <v>1558.5100000000002</v>
      </c>
      <c r="J26" s="17">
        <f t="shared" si="1"/>
        <v>3.3000000000001819</v>
      </c>
    </row>
    <row r="27" spans="1:10" x14ac:dyDescent="0.25">
      <c r="A27" s="10" t="s">
        <v>170</v>
      </c>
      <c r="B27" s="11" t="s">
        <v>171</v>
      </c>
      <c r="C27" s="11">
        <v>317000</v>
      </c>
      <c r="D27" s="12">
        <v>144.16</v>
      </c>
      <c r="E27" s="13"/>
      <c r="F27" s="14" t="s">
        <v>170</v>
      </c>
      <c r="G27" s="15" t="s">
        <v>171</v>
      </c>
      <c r="H27" s="15">
        <v>854000</v>
      </c>
      <c r="I27" s="16">
        <v>148.49</v>
      </c>
      <c r="J27" s="17">
        <f t="shared" si="1"/>
        <v>4.3300000000000125</v>
      </c>
    </row>
    <row r="28" spans="1:10" x14ac:dyDescent="0.25">
      <c r="A28" s="10" t="s">
        <v>72</v>
      </c>
      <c r="B28" s="11" t="s">
        <v>73</v>
      </c>
      <c r="C28" s="11">
        <v>593750</v>
      </c>
      <c r="D28" s="12">
        <v>190.32</v>
      </c>
      <c r="E28" s="13"/>
      <c r="F28" s="14" t="s">
        <v>72</v>
      </c>
      <c r="G28" s="15" t="s">
        <v>73</v>
      </c>
      <c r="H28" s="15">
        <v>312750</v>
      </c>
      <c r="I28" s="16">
        <v>197.13</v>
      </c>
      <c r="J28" s="17">
        <f t="shared" si="1"/>
        <v>6.8100000000000023</v>
      </c>
    </row>
    <row r="29" spans="1:10" x14ac:dyDescent="0.25">
      <c r="A29" s="10" t="s">
        <v>815</v>
      </c>
      <c r="B29" s="11" t="s">
        <v>816</v>
      </c>
      <c r="C29" s="11">
        <v>109500</v>
      </c>
      <c r="D29" s="12">
        <v>265.47000000000003</v>
      </c>
      <c r="E29" s="13"/>
      <c r="F29" s="14" t="s">
        <v>815</v>
      </c>
      <c r="G29" s="15" t="s">
        <v>816</v>
      </c>
      <c r="H29" s="15">
        <v>101500</v>
      </c>
      <c r="I29" s="16">
        <v>272.73</v>
      </c>
      <c r="J29" s="17">
        <f t="shared" si="1"/>
        <v>7.2599999999999909</v>
      </c>
    </row>
    <row r="30" spans="1:10" ht="15.75" thickBot="1" x14ac:dyDescent="0.3">
      <c r="A30" s="18" t="s">
        <v>427</v>
      </c>
      <c r="B30" s="19" t="s">
        <v>428</v>
      </c>
      <c r="C30" s="19">
        <v>3156000</v>
      </c>
      <c r="D30" s="20">
        <v>166.73</v>
      </c>
      <c r="E30" s="21"/>
      <c r="F30" s="22" t="s">
        <v>427</v>
      </c>
      <c r="G30" s="23" t="s">
        <v>428</v>
      </c>
      <c r="H30" s="23">
        <v>393000</v>
      </c>
      <c r="I30" s="24">
        <v>177.34</v>
      </c>
      <c r="J30" s="25">
        <f t="shared" si="1"/>
        <v>10.610000000000014</v>
      </c>
    </row>
    <row r="33" spans="1:1" x14ac:dyDescent="0.25">
      <c r="A33" s="11" t="s">
        <v>1003</v>
      </c>
    </row>
    <row r="35" spans="1:1" x14ac:dyDescent="0.25">
      <c r="A35" s="26" t="s">
        <v>1004</v>
      </c>
    </row>
    <row r="36" spans="1:1" x14ac:dyDescent="0.25">
      <c r="A36" s="26" t="s">
        <v>1005</v>
      </c>
    </row>
    <row r="37" spans="1:1" x14ac:dyDescent="0.25">
      <c r="A37" s="26" t="s">
        <v>1006</v>
      </c>
    </row>
    <row r="38" spans="1:1" x14ac:dyDescent="0.25">
      <c r="A38" s="26" t="s">
        <v>1007</v>
      </c>
    </row>
    <row r="39" spans="1:1" x14ac:dyDescent="0.25">
      <c r="A39" s="26" t="s">
        <v>1008</v>
      </c>
    </row>
    <row r="40" spans="1:1" x14ac:dyDescent="0.25">
      <c r="A40" s="26" t="s">
        <v>1009</v>
      </c>
    </row>
    <row r="41" spans="1:1" x14ac:dyDescent="0.25">
      <c r="A41" s="26" t="s">
        <v>1010</v>
      </c>
    </row>
    <row r="42" spans="1:1" x14ac:dyDescent="0.25">
      <c r="A42" s="26" t="s">
        <v>1011</v>
      </c>
    </row>
    <row r="43" spans="1:1" x14ac:dyDescent="0.25">
      <c r="A43" s="26" t="s">
        <v>1012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O33"/>
  <sheetViews>
    <sheetView zoomScale="60" zoomScaleNormal="60" workbookViewId="0">
      <selection activeCell="T41" sqref="T41"/>
    </sheetView>
  </sheetViews>
  <sheetFormatPr defaultRowHeight="15" x14ac:dyDescent="0.25"/>
  <sheetData>
    <row r="3" spans="1:15" ht="21" x14ac:dyDescent="0.35">
      <c r="E3" s="27" t="s">
        <v>1013</v>
      </c>
      <c r="O3" s="29" t="s">
        <v>1017</v>
      </c>
    </row>
    <row r="4" spans="1:15" ht="15.75" thickBot="1" x14ac:dyDescent="0.3"/>
    <row r="5" spans="1:15" x14ac:dyDescent="0.25">
      <c r="A5" s="2" t="s">
        <v>998</v>
      </c>
      <c r="B5" s="3" t="s">
        <v>999</v>
      </c>
      <c r="C5" s="3" t="s">
        <v>1000</v>
      </c>
      <c r="D5" s="4" t="s">
        <v>1001</v>
      </c>
      <c r="E5" s="5"/>
      <c r="F5" s="6" t="s">
        <v>998</v>
      </c>
      <c r="G5" s="7" t="s">
        <v>999</v>
      </c>
      <c r="H5" s="7" t="s">
        <v>1000</v>
      </c>
      <c r="I5" s="8" t="s">
        <v>1001</v>
      </c>
      <c r="J5" s="9" t="s">
        <v>1002</v>
      </c>
    </row>
    <row r="6" spans="1:15" x14ac:dyDescent="0.25">
      <c r="A6" s="10" t="s">
        <v>176</v>
      </c>
      <c r="B6" s="11" t="s">
        <v>177</v>
      </c>
      <c r="C6" s="11">
        <v>738750</v>
      </c>
      <c r="D6" s="12">
        <v>58.05</v>
      </c>
      <c r="E6" s="13"/>
      <c r="F6" s="14" t="s">
        <v>176</v>
      </c>
      <c r="G6" s="15" t="s">
        <v>177</v>
      </c>
      <c r="H6" s="15">
        <v>1635000</v>
      </c>
      <c r="I6" s="16">
        <v>48</v>
      </c>
      <c r="J6" s="17">
        <f>AVERAGE(I6-D6)</f>
        <v>-10.049999999999997</v>
      </c>
    </row>
    <row r="7" spans="1:15" x14ac:dyDescent="0.25">
      <c r="A7" s="10" t="s">
        <v>231</v>
      </c>
      <c r="B7" s="11" t="s">
        <v>232</v>
      </c>
      <c r="C7" s="11">
        <v>59200</v>
      </c>
      <c r="D7" s="12">
        <v>220.73</v>
      </c>
      <c r="E7" s="13"/>
      <c r="F7" s="14" t="s">
        <v>231</v>
      </c>
      <c r="G7" s="15" t="s">
        <v>232</v>
      </c>
      <c r="H7" s="15">
        <v>56000</v>
      </c>
      <c r="I7" s="16">
        <v>211.17000000000002</v>
      </c>
      <c r="J7" s="17">
        <f t="shared" ref="J7:J15" si="0">I7-D7</f>
        <v>-9.5599999999999739</v>
      </c>
    </row>
    <row r="8" spans="1:15" x14ac:dyDescent="0.25">
      <c r="A8" s="10" t="s">
        <v>255</v>
      </c>
      <c r="B8" s="11" t="s">
        <v>256</v>
      </c>
      <c r="C8" s="11">
        <v>217000</v>
      </c>
      <c r="D8" s="12">
        <v>94.57</v>
      </c>
      <c r="E8" s="13"/>
      <c r="F8" s="14" t="s">
        <v>255</v>
      </c>
      <c r="G8" s="15" t="s">
        <v>256</v>
      </c>
      <c r="H8" s="15">
        <v>50000</v>
      </c>
      <c r="I8" s="16">
        <v>88.27</v>
      </c>
      <c r="J8" s="17">
        <f t="shared" si="0"/>
        <v>-6.2999999999999972</v>
      </c>
    </row>
    <row r="9" spans="1:15" x14ac:dyDescent="0.25">
      <c r="A9" s="10" t="s">
        <v>531</v>
      </c>
      <c r="B9" s="11" t="s">
        <v>532</v>
      </c>
      <c r="C9" s="11">
        <v>72000</v>
      </c>
      <c r="D9" s="12">
        <v>314.12</v>
      </c>
      <c r="E9" s="13"/>
      <c r="F9" s="14" t="s">
        <v>531</v>
      </c>
      <c r="G9" s="15" t="s">
        <v>532</v>
      </c>
      <c r="H9" s="15">
        <v>50400</v>
      </c>
      <c r="I9" s="16">
        <v>308.5</v>
      </c>
      <c r="J9" s="17">
        <f t="shared" si="0"/>
        <v>-5.6200000000000045</v>
      </c>
    </row>
    <row r="10" spans="1:15" x14ac:dyDescent="0.25">
      <c r="A10" s="10" t="s">
        <v>108</v>
      </c>
      <c r="B10" s="11" t="s">
        <v>109</v>
      </c>
      <c r="C10" s="11">
        <v>180000</v>
      </c>
      <c r="D10" s="12">
        <v>71.94</v>
      </c>
      <c r="E10" s="13"/>
      <c r="F10" s="14" t="s">
        <v>108</v>
      </c>
      <c r="G10" s="15" t="s">
        <v>109</v>
      </c>
      <c r="H10" s="15">
        <v>68000</v>
      </c>
      <c r="I10" s="16">
        <v>69.09</v>
      </c>
      <c r="J10" s="17">
        <f t="shared" si="0"/>
        <v>-2.8499999999999943</v>
      </c>
    </row>
    <row r="11" spans="1:15" x14ac:dyDescent="0.25">
      <c r="A11" s="10" t="s">
        <v>411</v>
      </c>
      <c r="B11" s="11" t="s">
        <v>412</v>
      </c>
      <c r="C11" s="11">
        <v>680000</v>
      </c>
      <c r="D11" s="12">
        <v>21.46</v>
      </c>
      <c r="E11" s="13"/>
      <c r="F11" s="14" t="s">
        <v>411</v>
      </c>
      <c r="G11" s="15" t="s">
        <v>412</v>
      </c>
      <c r="H11" s="15">
        <v>340000</v>
      </c>
      <c r="I11" s="16">
        <v>19.380000000000003</v>
      </c>
      <c r="J11" s="17">
        <f t="shared" si="0"/>
        <v>-2.0799999999999983</v>
      </c>
    </row>
    <row r="12" spans="1:15" x14ac:dyDescent="0.25">
      <c r="A12" s="10" t="s">
        <v>865</v>
      </c>
      <c r="B12" s="11" t="s">
        <v>866</v>
      </c>
      <c r="C12" s="11">
        <v>88000</v>
      </c>
      <c r="D12" s="12">
        <v>51.95</v>
      </c>
      <c r="E12" s="13"/>
      <c r="F12" s="14" t="s">
        <v>865</v>
      </c>
      <c r="G12" s="15" t="s">
        <v>866</v>
      </c>
      <c r="H12" s="15">
        <v>86000</v>
      </c>
      <c r="I12" s="16">
        <v>50.3</v>
      </c>
      <c r="J12" s="17">
        <f t="shared" si="0"/>
        <v>-1.6500000000000057</v>
      </c>
    </row>
    <row r="13" spans="1:15" x14ac:dyDescent="0.25">
      <c r="A13" s="10" t="s">
        <v>443</v>
      </c>
      <c r="B13" s="11" t="s">
        <v>444</v>
      </c>
      <c r="C13" s="11">
        <v>288000</v>
      </c>
      <c r="D13" s="12">
        <v>135.74</v>
      </c>
      <c r="E13" s="13"/>
      <c r="F13" s="14" t="s">
        <v>443</v>
      </c>
      <c r="G13" s="15" t="s">
        <v>444</v>
      </c>
      <c r="H13" s="15">
        <v>73000</v>
      </c>
      <c r="I13" s="16">
        <v>134.76</v>
      </c>
      <c r="J13" s="17">
        <f t="shared" si="0"/>
        <v>-0.98000000000001819</v>
      </c>
    </row>
    <row r="14" spans="1:15" x14ac:dyDescent="0.25">
      <c r="A14" s="10" t="s">
        <v>859</v>
      </c>
      <c r="B14" s="11" t="s">
        <v>860</v>
      </c>
      <c r="C14" s="11">
        <v>562000</v>
      </c>
      <c r="D14" s="12">
        <v>29.01</v>
      </c>
      <c r="E14" s="13"/>
      <c r="F14" s="14" t="s">
        <v>859</v>
      </c>
      <c r="G14" s="15" t="s">
        <v>860</v>
      </c>
      <c r="H14" s="15">
        <v>164000</v>
      </c>
      <c r="I14" s="16">
        <v>28.110000000000003</v>
      </c>
      <c r="J14" s="17">
        <f t="shared" si="0"/>
        <v>-0.89999999999999858</v>
      </c>
    </row>
    <row r="15" spans="1:15" x14ac:dyDescent="0.25">
      <c r="A15" s="10" t="s">
        <v>471</v>
      </c>
      <c r="B15" s="11" t="s">
        <v>472</v>
      </c>
      <c r="C15" s="11">
        <v>51600</v>
      </c>
      <c r="D15" s="12">
        <v>84.22</v>
      </c>
      <c r="E15" s="13"/>
      <c r="F15" s="14" t="s">
        <v>471</v>
      </c>
      <c r="G15" s="15" t="s">
        <v>472</v>
      </c>
      <c r="H15" s="15">
        <v>57600</v>
      </c>
      <c r="I15" s="16">
        <v>83.39</v>
      </c>
      <c r="J15" s="17">
        <f t="shared" si="0"/>
        <v>-0.82999999999999829</v>
      </c>
    </row>
    <row r="17" spans="1:15" x14ac:dyDescent="0.25">
      <c r="H17" s="26" t="s">
        <v>1015</v>
      </c>
      <c r="J17" s="28">
        <f>AVERAGE(J6:J15)</f>
        <v>-4.081999999999999</v>
      </c>
    </row>
    <row r="20" spans="1:15" ht="21" x14ac:dyDescent="0.35">
      <c r="E20" s="27" t="s">
        <v>1014</v>
      </c>
      <c r="O20" s="29" t="s">
        <v>1018</v>
      </c>
    </row>
    <row r="22" spans="1:15" x14ac:dyDescent="0.25">
      <c r="A22" s="10" t="s">
        <v>893</v>
      </c>
      <c r="B22" s="11" t="s">
        <v>894</v>
      </c>
      <c r="C22" s="11">
        <v>603000</v>
      </c>
      <c r="D22" s="12">
        <v>22.07</v>
      </c>
      <c r="E22" s="13"/>
      <c r="F22" s="14" t="s">
        <v>893</v>
      </c>
      <c r="G22" s="15" t="s">
        <v>894</v>
      </c>
      <c r="H22" s="15">
        <v>363000</v>
      </c>
      <c r="I22" s="16">
        <v>22.82</v>
      </c>
      <c r="J22" s="17">
        <f t="shared" ref="J22:J31" si="1">I22-D22</f>
        <v>0.75</v>
      </c>
    </row>
    <row r="23" spans="1:15" x14ac:dyDescent="0.25">
      <c r="A23" s="10" t="s">
        <v>901</v>
      </c>
      <c r="B23" s="11" t="s">
        <v>902</v>
      </c>
      <c r="C23" s="11">
        <v>116000</v>
      </c>
      <c r="D23" s="12">
        <v>32.729999999999997</v>
      </c>
      <c r="E23" s="13"/>
      <c r="F23" s="14" t="s">
        <v>901</v>
      </c>
      <c r="G23" s="15" t="s">
        <v>902</v>
      </c>
      <c r="H23" s="15">
        <v>80000</v>
      </c>
      <c r="I23" s="16">
        <v>34.589999999999996</v>
      </c>
      <c r="J23" s="17">
        <f t="shared" si="1"/>
        <v>1.8599999999999994</v>
      </c>
    </row>
    <row r="24" spans="1:15" x14ac:dyDescent="0.25">
      <c r="A24" s="10" t="s">
        <v>847</v>
      </c>
      <c r="B24" s="11" t="s">
        <v>848</v>
      </c>
      <c r="C24" s="11">
        <v>200000</v>
      </c>
      <c r="D24" s="12">
        <v>144.66999999999999</v>
      </c>
      <c r="E24" s="13"/>
      <c r="F24" s="14" t="s">
        <v>847</v>
      </c>
      <c r="G24" s="15" t="s">
        <v>848</v>
      </c>
      <c r="H24" s="15">
        <v>100000</v>
      </c>
      <c r="I24" s="16">
        <v>146.65</v>
      </c>
      <c r="J24" s="17">
        <f t="shared" si="1"/>
        <v>1.9800000000000182</v>
      </c>
    </row>
    <row r="25" spans="1:15" x14ac:dyDescent="0.25">
      <c r="A25" s="10" t="s">
        <v>637</v>
      </c>
      <c r="B25" s="11" t="s">
        <v>638</v>
      </c>
      <c r="C25" s="11">
        <v>66000</v>
      </c>
      <c r="D25" s="12">
        <v>21.3</v>
      </c>
      <c r="E25" s="13"/>
      <c r="F25" s="14" t="s">
        <v>637</v>
      </c>
      <c r="G25" s="15" t="s">
        <v>638</v>
      </c>
      <c r="H25" s="15">
        <v>69000</v>
      </c>
      <c r="I25" s="16">
        <v>24.479999999999997</v>
      </c>
      <c r="J25" s="17">
        <f t="shared" si="1"/>
        <v>3.1799999999999962</v>
      </c>
    </row>
    <row r="26" spans="1:15" x14ac:dyDescent="0.25">
      <c r="A26" s="10" t="s">
        <v>96</v>
      </c>
      <c r="B26" s="11" t="s">
        <v>97</v>
      </c>
      <c r="C26" s="11">
        <v>106000</v>
      </c>
      <c r="D26" s="12">
        <v>136.31</v>
      </c>
      <c r="E26" s="13"/>
      <c r="F26" s="14" t="s">
        <v>96</v>
      </c>
      <c r="G26" s="15" t="s">
        <v>97</v>
      </c>
      <c r="H26" s="15">
        <v>162000</v>
      </c>
      <c r="I26" s="16">
        <v>139.56</v>
      </c>
      <c r="J26" s="17">
        <f t="shared" si="1"/>
        <v>3.25</v>
      </c>
    </row>
    <row r="27" spans="1:15" x14ac:dyDescent="0.25">
      <c r="A27" s="10" t="s">
        <v>543</v>
      </c>
      <c r="B27" s="11" t="s">
        <v>544</v>
      </c>
      <c r="C27" s="11">
        <v>60675</v>
      </c>
      <c r="D27" s="12">
        <v>1555.21</v>
      </c>
      <c r="E27" s="13"/>
      <c r="F27" s="14" t="s">
        <v>543</v>
      </c>
      <c r="G27" s="15" t="s">
        <v>544</v>
      </c>
      <c r="H27" s="15">
        <v>51750</v>
      </c>
      <c r="I27" s="16">
        <v>1558.5100000000002</v>
      </c>
      <c r="J27" s="17">
        <f t="shared" si="1"/>
        <v>3.3000000000001819</v>
      </c>
    </row>
    <row r="28" spans="1:15" x14ac:dyDescent="0.25">
      <c r="A28" s="10" t="s">
        <v>170</v>
      </c>
      <c r="B28" s="11" t="s">
        <v>171</v>
      </c>
      <c r="C28" s="11">
        <v>317000</v>
      </c>
      <c r="D28" s="12">
        <v>144.16</v>
      </c>
      <c r="E28" s="13"/>
      <c r="F28" s="14" t="s">
        <v>170</v>
      </c>
      <c r="G28" s="15" t="s">
        <v>171</v>
      </c>
      <c r="H28" s="15">
        <v>854000</v>
      </c>
      <c r="I28" s="16">
        <v>148.49</v>
      </c>
      <c r="J28" s="17">
        <f t="shared" si="1"/>
        <v>4.3300000000000125</v>
      </c>
    </row>
    <row r="29" spans="1:15" x14ac:dyDescent="0.25">
      <c r="A29" s="10" t="s">
        <v>72</v>
      </c>
      <c r="B29" s="11" t="s">
        <v>73</v>
      </c>
      <c r="C29" s="11">
        <v>593750</v>
      </c>
      <c r="D29" s="12">
        <v>190.32</v>
      </c>
      <c r="E29" s="13"/>
      <c r="F29" s="14" t="s">
        <v>72</v>
      </c>
      <c r="G29" s="15" t="s">
        <v>73</v>
      </c>
      <c r="H29" s="15">
        <v>312750</v>
      </c>
      <c r="I29" s="16">
        <v>197.13</v>
      </c>
      <c r="J29" s="17">
        <f t="shared" si="1"/>
        <v>6.8100000000000023</v>
      </c>
    </row>
    <row r="30" spans="1:15" x14ac:dyDescent="0.25">
      <c r="A30" s="10" t="s">
        <v>815</v>
      </c>
      <c r="B30" s="11" t="s">
        <v>816</v>
      </c>
      <c r="C30" s="11">
        <v>109500</v>
      </c>
      <c r="D30" s="12">
        <v>265.47000000000003</v>
      </c>
      <c r="E30" s="13"/>
      <c r="F30" s="14" t="s">
        <v>815</v>
      </c>
      <c r="G30" s="15" t="s">
        <v>816</v>
      </c>
      <c r="H30" s="15">
        <v>101500</v>
      </c>
      <c r="I30" s="16">
        <v>272.73</v>
      </c>
      <c r="J30" s="17">
        <f t="shared" si="1"/>
        <v>7.2599999999999909</v>
      </c>
    </row>
    <row r="31" spans="1:15" ht="15.75" thickBot="1" x14ac:dyDescent="0.3">
      <c r="A31" s="18" t="s">
        <v>427</v>
      </c>
      <c r="B31" s="19" t="s">
        <v>428</v>
      </c>
      <c r="C31" s="19">
        <v>3156000</v>
      </c>
      <c r="D31" s="20">
        <v>166.73</v>
      </c>
      <c r="E31" s="21"/>
      <c r="F31" s="22" t="s">
        <v>427</v>
      </c>
      <c r="G31" s="23" t="s">
        <v>428</v>
      </c>
      <c r="H31" s="23">
        <v>393000</v>
      </c>
      <c r="I31" s="24">
        <v>177.34</v>
      </c>
      <c r="J31" s="25">
        <f t="shared" si="1"/>
        <v>10.610000000000014</v>
      </c>
    </row>
    <row r="33" spans="8:10" x14ac:dyDescent="0.25">
      <c r="H33" s="26" t="s">
        <v>1016</v>
      </c>
      <c r="J33" s="28">
        <f>AVERAGE(J22:J31)</f>
        <v>4.3330000000000215</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Q3:AF38"/>
  <sheetViews>
    <sheetView zoomScale="54" workbookViewId="0">
      <selection activeCell="AE52" sqref="AE52"/>
    </sheetView>
  </sheetViews>
  <sheetFormatPr defaultRowHeight="15" x14ac:dyDescent="0.25"/>
  <sheetData>
    <row r="3" spans="17:32" ht="26.25" x14ac:dyDescent="0.4">
      <c r="Q3" s="31" t="s">
        <v>1020</v>
      </c>
    </row>
    <row r="5" spans="17:32" ht="26.25" x14ac:dyDescent="0.4">
      <c r="Q5" s="31" t="s">
        <v>1021</v>
      </c>
    </row>
    <row r="7" spans="17:32" ht="26.25" x14ac:dyDescent="0.4">
      <c r="Q7" s="31" t="s">
        <v>1022</v>
      </c>
    </row>
    <row r="9" spans="17:32" x14ac:dyDescent="0.25">
      <c r="AF9" s="26"/>
    </row>
    <row r="34" spans="17:17" ht="26.25" x14ac:dyDescent="0.4">
      <c r="Q34" s="31" t="s">
        <v>1023</v>
      </c>
    </row>
    <row r="36" spans="17:17" ht="26.25" x14ac:dyDescent="0.4">
      <c r="Q36" s="31" t="s">
        <v>1024</v>
      </c>
    </row>
    <row r="38" spans="17:17" ht="26.25" x14ac:dyDescent="0.4">
      <c r="Q38" s="31" t="s">
        <v>1025</v>
      </c>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Name &amp; Email Info </vt:lpstr>
      <vt:lpstr>sme29012026</vt:lpstr>
      <vt:lpstr>sme30012026</vt:lpstr>
      <vt:lpstr>202631JanComparisonData</vt:lpstr>
      <vt:lpstr>Excell Visualization</vt:lpstr>
      <vt:lpstr>Power BI Visualization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Siddharth Labhade</dc:creator>
  <cp:lastModifiedBy>NCACCOUNTS</cp:lastModifiedBy>
  <dcterms:created xsi:type="dcterms:W3CDTF">2026-01-31T14:34:50Z</dcterms:created>
  <dcterms:modified xsi:type="dcterms:W3CDTF">2026-01-31T18:29:03Z</dcterms:modified>
</cp:coreProperties>
</file>